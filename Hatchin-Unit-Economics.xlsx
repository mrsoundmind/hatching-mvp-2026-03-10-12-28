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Override PartName="/xl/comments6.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9.xml" ContentType="application/vnd.openxmlformats-officedocument.spreadsheetml.comments+xml"/>
  <Override PartName="/xl/theme/theme1.xml" ContentType="application/vnd.openxmlformats-officedocument.theme+xml"/>
  <Override PartName="/xl/comments13.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Basis &amp; Method" sheetId="2" state="visible" r:id="rId4"/>
    <sheet name="Evidence Ledger" sheetId="3" state="visible" r:id="rId5"/>
    <sheet name="Goals" sheetId="4" state="visible" r:id="rId6"/>
    <sheet name="Assumptions" sheetId="5" state="visible" r:id="rId7"/>
    <sheet name="Cost to Serve" sheetId="6" state="visible" r:id="rId8"/>
    <sheet name="Running Costs" sheetId="7" state="visible" r:id="rId9"/>
    <sheet name="Usage Windows" sheetId="8" state="visible" r:id="rId10"/>
    <sheet name="B2C Pricing" sheetId="9" state="visible" r:id="rId11"/>
    <sheet name="B2C Personas" sheetId="10" state="visible" r:id="rId12"/>
    <sheet name="B2B Model" sheetId="11" state="visible" r:id="rId13"/>
    <sheet name="Company Sizes" sheetId="12" state="visible" r:id="rId14"/>
    <sheet name="P&amp;L Scenarios" sheetId="13" state="visible" r:id="rId15"/>
    <sheet name="Growth Forecast" sheetId="14" state="visible" r:id="rId16"/>
    <sheet name="Sensitivity" sheetId="15" state="visible" r:id="rId17"/>
    <sheet name="Market Size" sheetId="16" state="visible" r:id="rId18"/>
    <sheet name="Key Metrics" sheetId="17" state="visible" r:id="rId19"/>
    <sheet name="OpEx &amp; Taxes" sheetId="18" state="visible" r:id="rId20"/>
    <sheet name="Runway" sheetId="19" state="visible" r:id="rId21"/>
    <sheet name="CAC &amp; LTV" sheetId="20" state="visible" r:id="rId22"/>
    <sheet name="Break-even" sheetId="21" state="visible" r:id="rId23"/>
    <sheet name="INR View" sheetId="22" state="visible" r:id="rId24"/>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Model</author>
  </authors>
  <commentList>
    <comment ref="C8" authorId="0">
      <text>
        <r>
          <rPr>
            <sz val="10"/>
            <rFont val="Arial"/>
            <family val="2"/>
          </rPr>
          <t xml:space="preserve">Stripe on the US Pro monthly price</t>
        </r>
      </text>
    </comment>
    <comment ref="D8" authorId="0">
      <text>
        <r>
          <rPr>
            <sz val="10"/>
            <rFont val="Arial"/>
            <family val="2"/>
          </rPr>
          <t xml:space="preserve">Per-seat, annual-billing amortized</t>
        </r>
      </text>
    </comment>
  </commentList>
</comments>
</file>

<file path=xl/comments9.xml><?xml version="1.0" encoding="utf-8"?>
<comments xmlns="http://schemas.openxmlformats.org/spreadsheetml/2006/main" xmlns:xdr="http://schemas.openxmlformats.org/drawingml/2006/spreadsheetDrawing">
  <authors>
    <author>Model</author>
  </authors>
  <commentList>
    <comment ref="C8" authorId="0">
      <text>
        <r>
          <rPr>
            <sz val="10"/>
            <rFont val="Arial"/>
            <family val="2"/>
          </rPr>
          <t xml:space="preserve">remove 20% VAT</t>
        </r>
      </text>
    </comment>
    <comment ref="D8" authorId="0">
      <text>
        <r>
          <rPr>
            <sz val="10"/>
            <rFont val="Arial"/>
            <family val="2"/>
          </rPr>
          <t xml:space="preserve">remove 18% GST</t>
        </r>
      </text>
    </comment>
  </commentList>
</comments>
</file>

<file path=xl/comments13.xml><?xml version="1.0" encoding="utf-8"?>
<comments xmlns="http://schemas.openxmlformats.org/spreadsheetml/2006/main" xmlns:xdr="http://schemas.openxmlformats.org/drawingml/2006/spreadsheetDrawing">
  <authors>
    <author>Model</author>
  </authors>
  <commentList>
    <comment ref="A9" authorId="0">
      <text>
        <r>
          <rPr>
            <sz val="10"/>
            <rFont val="Arial"/>
            <family val="2"/>
          </rPr>
          <t xml:space="preserve">Net-of-fee blend of 60/25/15 US/UK/India mix</t>
        </r>
      </text>
    </comment>
    <comment ref="A12" authorId="0">
      <text>
        <r>
          <rPr>
            <sz val="10"/>
            <rFont val="Arial"/>
            <family val="2"/>
          </rPr>
          <t xml:space="preserve">B2B overlay revenue</t>
        </r>
      </text>
    </comment>
    <comment ref="A16" authorId="0">
      <text>
        <r>
          <rPr>
            <sz val="10"/>
            <rFont val="Arial"/>
            <family val="2"/>
          </rPr>
          <t xml:space="preserve">accounts × ~$90/account</t>
        </r>
      </text>
    </comment>
  </commentList>
</comments>
</file>

<file path=xl/comments19.xml><?xml version="1.0" encoding="utf-8"?>
<comments xmlns="http://schemas.openxmlformats.org/spreadsheetml/2006/main" xmlns:xdr="http://schemas.openxmlformats.org/drawingml/2006/spreadsheetDrawing">
  <authors>
    <author>Model</author>
  </authors>
  <commentList>
    <comment ref="B22" authorId="0">
      <text>
        <r>
          <rPr>
            <sz val="10"/>
            <rFont val="Arial"/>
            <family val="2"/>
          </rPr>
          <t xml:space="preserve">burn ÷ 75% blended gross margin</t>
        </r>
      </text>
    </comment>
    <comment ref="B23" authorId="0">
      <text>
        <r>
          <rPr>
            <sz val="10"/>
            <rFont val="Arial"/>
            <family val="2"/>
          </rPr>
          <t xml:space="preserve">burn ÷ 75% blended gross margin</t>
        </r>
      </text>
    </comment>
    <comment ref="B24" authorId="0">
      <text>
        <r>
          <rPr>
            <sz val="10"/>
            <rFont val="Arial"/>
            <family val="2"/>
          </rPr>
          <t xml:space="preserve">burn ÷ 75% blended gross margin</t>
        </r>
      </text>
    </comment>
    <comment ref="B25" authorId="0">
      <text>
        <r>
          <rPr>
            <sz val="10"/>
            <rFont val="Arial"/>
            <family val="2"/>
          </rPr>
          <t xml:space="preserve">burn ÷ 75% blended gross margin</t>
        </r>
      </text>
    </comment>
    <comment ref="D22" authorId="0">
      <text>
        <r>
          <rPr>
            <sz val="10"/>
            <rFont val="Arial"/>
            <family val="2"/>
          </rPr>
          <t xml:space="preserve">10-seat account MRR</t>
        </r>
      </text>
    </comment>
    <comment ref="D23" authorId="0">
      <text>
        <r>
          <rPr>
            <sz val="10"/>
            <rFont val="Arial"/>
            <family val="2"/>
          </rPr>
          <t xml:space="preserve">10-seat account MRR</t>
        </r>
      </text>
    </comment>
    <comment ref="D24" authorId="0">
      <text>
        <r>
          <rPr>
            <sz val="10"/>
            <rFont val="Arial"/>
            <family val="2"/>
          </rPr>
          <t xml:space="preserve">10-seat account MRR</t>
        </r>
      </text>
    </comment>
    <comment ref="D25" authorId="0">
      <text>
        <r>
          <rPr>
            <sz val="10"/>
            <rFont val="Arial"/>
            <family val="2"/>
          </rPr>
          <t xml:space="preserve">10-seat account MRR</t>
        </r>
      </text>
    </comment>
  </commentList>
</comments>
</file>

<file path=xl/sharedStrings.xml><?xml version="1.0" encoding="utf-8"?>
<sst xmlns="http://schemas.openxmlformats.org/spreadsheetml/2006/main" count="821" uniqueCount="674">
  <si>
    <t xml:space="preserve">HATCHIN · UNIT ECONOMICS &amp; FINANCIAL MODEL</t>
  </si>
  <si>
    <t xml:space="preserve">Live model · change any blue/yellow input and every tab recalculates · July 2026 prices</t>
  </si>
  <si>
    <t xml:space="preserve">HOW TO USE</t>
  </si>
  <si>
    <t xml:space="preserve">•  Yellow/blue cells are inputs. Change them. Black cells are formulas. Green cells pull from another tab.</t>
  </si>
  <si>
    <t xml:space="preserve">•  Start on Assumptions. Every driver lives there: token prices, usage, fees, tax, churn, conversion.</t>
  </si>
  <si>
    <t xml:space="preserve">•  Basis &amp; Method explains the method. Evidence Ledger gives the reason and confidence for every single claim.</t>
  </si>
  <si>
    <t xml:space="preserve">•  Usage Windows is the cost cap (5-hour + weekly budget). B2C Personas and Company Sizes simulate real users.</t>
  </si>
  <si>
    <t xml:space="preserve">THE FIVE THINGS THAT MATTER</t>
  </si>
  <si>
    <t xml:space="preserve">1.  Chat is nearly free; autonomy (background AI work) is the only expensive thing. Meter autonomy, give chat away.</t>
  </si>
  <si>
    <t xml:space="preserve">2.  Pro gross margin ~80% (US/UK). India at ₹699 ~49%, and turns NEGATIVE below ~₹350/mo without a cap.</t>
  </si>
  <si>
    <t xml:space="preserve">3.  B2B is the profit engine: one ~15-seat account is worth ~23x a B2C Pro, with LTV:CAC of 11x to 22x.</t>
  </si>
  <si>
    <t xml:space="preserve">4.  Break-even is tiny: ~1 B2B account or ~12 US Pro subs covers base burn ($170/mo, or ₹14,620, at $0 draw).</t>
  </si>
  <si>
    <t xml:space="preserve">5.  Usage windows cap the worst case. Without them one heavy India user can cost more than they pay.</t>
  </si>
  <si>
    <t xml:space="preserve">THE OPEN DECISION (from the marketing council)</t>
  </si>
  <si>
    <t xml:space="preserve">This model optimizes WITHIN the $19 price. 4 of 5 advisors argued $19 is itself the mistake: you</t>
  </si>
  <si>
    <t xml:space="preserve">positioned into ChatGPT's '$20 AI subscription' class by accident. The reposition-and-raise case</t>
  </si>
  <si>
    <t xml:space="preserve">('your first 30 hires', test $39 to $99 plus a 3rd anchor tier and a reverse trial) is in the dashboard, not priced here.</t>
  </si>
  <si>
    <t xml:space="preserve">Simulated advisory input, built from published frameworks, not the real people's review of Hatchin.</t>
  </si>
  <si>
    <t xml:space="preserve">BASIS &amp; METHOD  ·  where every number comes from</t>
  </si>
  <si>
    <t xml:space="preserve">Read this if you want to know why the prices and costs are what they are. Nothing here is a guess without a stated reason.</t>
  </si>
  <si>
    <t xml:space="preserve">COST TO SERVE (what a user costs us)</t>
  </si>
  <si>
    <t xml:space="preserve">Built from the code's own COST_TABLE (DeepSeek $0.14/$0.28, Gemini $0.15/$0.60, Llama free) times an estimated</t>
  </si>
  <si>
    <t xml:space="preserve">token count. Chat is cheap because simple messages run on Meta's open-source Llama 3.3-70B, which costs about</t>
  </si>
  <si>
    <t xml:space="preserve">nothing per message (an open model you can self-host, or run on a free tier), and the rest run on DeepSeek Flash,</t>
  </si>
  <si>
    <t xml:space="preserve">the cheapest paid API, with the repeated prompt cached (~98% cheaper on input). Autonomy costs more because each</t>
  </si>
  <si>
    <t xml:space="preserve">background run reads and writes ~16,000 tokens across the task plus a peer review. So chat is genuinely near-free.</t>
  </si>
  <si>
    <t xml:space="preserve">PRICING (what we charge)</t>
  </si>
  <si>
    <t xml:space="preserve">US $19: sits $1 under the anchor every buyer already carries (ChatGPT Plus and Claude Pro are ~$20), so the story is</t>
  </si>
  <si>
    <t xml:space="preserve">'one chatbot vs a 30-agent team.' UK £15: the clean charm point under £20, shown VAT-inclusive. India ₹699: set by</t>
  </si>
  <si>
    <t xml:space="preserve">purchasing power, not FX. FX would put $19 at ~₹1,634, which almost nobody in India pays for consumer software; ₹699</t>
  </si>
  <si>
    <t xml:space="preserve">is the credible 'real software' band. It still clears cost (49% margin) as long as autonomy is capped (see Usage Windows).</t>
  </si>
  <si>
    <t xml:space="preserve">B2B $29/seat: anchored on a ~$4,000/mo junior hire, not on the $19 consumer price.</t>
  </si>
  <si>
    <t xml:space="preserve">BEHAVIOURAL INPUTS (how the business behaves)</t>
  </si>
  <si>
    <t xml:space="preserve">Free to paid 3%: conservative; the SaaS median is ~4.5%. B2C churn 6% (8% in India due to card/dunning friction).</t>
  </si>
  <si>
    <t xml:space="preserve">B2B churn 2.5%. CAC ranges are channel benchmarks. All are editable on the Assumptions tab, marked SRC (sourced)</t>
  </si>
  <si>
    <t xml:space="preserve">or EST (estimate). Change any of them and every tab recalculates.</t>
  </si>
  <si>
    <t xml:space="preserve">USAGE WINDOWS (the cap that makes it all safe)</t>
  </si>
  <si>
    <t xml:space="preserve">Modelled on how Claude limits use: a budget that refills every 5 hours plus a weekly ceiling. Sized so a normal user</t>
  </si>
  <si>
    <t xml:space="preserve">(≈150 runs/mo) never notices, while the heavy tail is bounded. Without it, one heavy India user on the 50-run/day cap</t>
  </si>
  <si>
    <t xml:space="preserve">could burn ~$13.50/mo of AI on a ₹699 (~$8) plan, a deep loss. With the weekly cap, worst case stays profitable.</t>
  </si>
  <si>
    <t xml:space="preserve">CAVEATS (what could move these numbers)</t>
  </si>
  <si>
    <t xml:space="preserve">1. DeepSeek is a single, China-based provider on promotional pricing. Keep Gemini and open-source Llama as fallback, re-quote if it ends.</t>
  </si>
  <si>
    <t xml:space="preserve">2. FX risk: revenue in ₹/£, AI cost in $. A stronger dollar squeezes India margin further. Price with a buffer.</t>
  </si>
  <si>
    <t xml:space="preserve">3. Estimates are labelled. The point of the spreadsheet is to replace our estimates with your real numbers as you learn them.</t>
  </si>
  <si>
    <t xml:space="preserve">Simulated advisory input (council / psychology / partnerships) applies published frameworks to Hatchin, not the real people's review.</t>
  </si>
  <si>
    <t xml:space="preserve">EVIDENCE LEDGER  ·  every claim, the reason for it, and how sure we are</t>
  </si>
  <si>
    <t xml:space="preserve">Nothing here is made up. But the numbers are not all equal. FACT = published and checkable. MATH = calculated from those facts. ESTIMATE = my best guess where you have no real data yet, replace these first. SIMULATED = an informed opinion, not a real quote.</t>
  </si>
  <si>
    <t xml:space="preserve">Claim</t>
  </si>
  <si>
    <t xml:space="preserve">Why we say it (the reasoning)</t>
  </si>
  <si>
    <t xml:space="preserve">How sure</t>
  </si>
  <si>
    <t xml:space="preserve">How you can check it</t>
  </si>
  <si>
    <t xml:space="preserve">Chatting is almost free to run</t>
  </si>
  <si>
    <t xml:space="preserve">Simple messages (greetings, short) run on Meta's open-source Llama 3.3-70B, which costs about nothing (self-host, or a free tier). The rest run on DeepSeek Flash, the cheapest paid model, with the prompt cached (~98% cheaper), so about $0.0004 (₹0.03) a message. Even 900 messages a month is under $0.30 (₹26).</t>
  </si>
  <si>
    <t xml:space="preserve">MATH</t>
  </si>
  <si>
    <t xml:space="preserve">Your DeepSeek bill and Llama host, divided by messages sent.</t>
  </si>
  <si>
    <t xml:space="preserve">Background work costs ~$0.009 a task, on AVERAGE</t>
  </si>
  <si>
    <t xml:space="preserve">A typical task is about 16,000 tokens (~$0.009). But tasks vary a lot: a quick answer is ~5,000 tokens (~$0.003), a full document or deep research is 40,000+ (~$0.023 or more). So $0.009 is an average, which is why the cap is best set as a token budget, not a flat count of tasks.</t>
  </si>
  <si>
    <t xml:space="preserve">Tokens per background run in your logs.</t>
  </si>
  <si>
    <t xml:space="preserve">A token is about three quarters of a word</t>
  </si>
  <si>
    <t xml:space="preserve">1 million tokens is roughly 750,000 words, about 10 novels. In chat that is ~300 messages. $1 (₹86) of AI covers roughly 2,000 chat messages. This is how the tiny per-token prices turn into real usage.</t>
  </si>
  <si>
    <t xml:space="preserve">FACT</t>
  </si>
  <si>
    <t xml:space="preserve">Any tokenizer, or the provider's token counter.</t>
  </si>
  <si>
    <t xml:space="preserve">A paid user costs about $3.40 (₹292) a month</t>
  </si>
  <si>
    <t xml:space="preserve">Chat $0.45 + tasks $1.35 + card fee $0.85 + servers and support $0.75.</t>
  </si>
  <si>
    <t xml:space="preserve">Add up your real monthly cost per active user.</t>
  </si>
  <si>
    <t xml:space="preserve">US profit is 81%</t>
  </si>
  <si>
    <t xml:space="preserve">You keep $18.15 of $19 after the card fee, and it costs $3.40 to serve. (18.15 minus 3.40) divided by 18.15.</t>
  </si>
  <si>
    <t xml:space="preserve">Your Stripe payout minus your real cost.</t>
  </si>
  <si>
    <t xml:space="preserve">India profit is 49%, a loss below about ₹355</t>
  </si>
  <si>
    <t xml:space="preserve">₹699 minus 18% GST and the payment fee is about $6.70, minus the same $3.40 cost.</t>
  </si>
  <si>
    <t xml:space="preserve">Confirm the GST rate and your Razorpay fee.</t>
  </si>
  <si>
    <t xml:space="preserve">One company is worth about 23 times a solo user</t>
  </si>
  <si>
    <t xml:space="preserve">A team pays far more, uses more, and stays far longer, so its lifetime value dwarfs a single Pro subscriber.</t>
  </si>
  <si>
    <t xml:space="preserve">Compare account revenue and churn once you have real accounts.</t>
  </si>
  <si>
    <t xml:space="preserve">You break even at about 1 company or 12 solos</t>
  </si>
  <si>
    <t xml:space="preserve">Your fixed cost is about $170 a month; divide it by the profit each customer brings.</t>
  </si>
  <si>
    <t xml:space="preserve">Your real monthly fixed cost.</t>
  </si>
  <si>
    <t xml:space="preserve">Cash lasts 147 months on $25k at no salary</t>
  </si>
  <si>
    <t xml:space="preserve">$25,000 divided by $170 a month of spend.</t>
  </si>
  <si>
    <t xml:space="preserve">Your actual bank balance and monthly spend.</t>
  </si>
  <si>
    <t xml:space="preserve">The cap turns a heavy India user from a loss into a profit</t>
  </si>
  <si>
    <t xml:space="preserve">Uncapped they run about 1,500 tasks ($13.50); capped they run about 520 ($4.68), which stays under the price.</t>
  </si>
  <si>
    <t xml:space="preserve">Set your own cap on the Usage Windows tab and read the row.</t>
  </si>
  <si>
    <t xml:space="preserve">About 3 in 100 free users will pay</t>
  </si>
  <si>
    <t xml:space="preserve">A careful, below-average guess. The typical figure is about 4.5 in 100. Yours could be higher or lower.</t>
  </si>
  <si>
    <t xml:space="preserve">ESTIMATE</t>
  </si>
  <si>
    <t xml:space="preserve">Watch your own signup-to-paid rate.</t>
  </si>
  <si>
    <t xml:space="preserve">About 6 to 8 in 100 paying users leave each month</t>
  </si>
  <si>
    <t xml:space="preserve">An industry benchmark for this kind of tool; India a little higher because of card renewal failures.</t>
  </si>
  <si>
    <t xml:space="preserve">Track your own monthly cancellations.</t>
  </si>
  <si>
    <t xml:space="preserve">Paid ads cost $150 to $400 to win one customer</t>
  </si>
  <si>
    <t xml:space="preserve">Typical for AI tools. Against a customer worth about $210, that loses money.</t>
  </si>
  <si>
    <t xml:space="preserve">Run a small $200 test and measure the real cost.</t>
  </si>
  <si>
    <t xml:space="preserve">Reaching 10,000 signups in 18 months</t>
  </si>
  <si>
    <t xml:space="preserve">About 550 a month on average, small at first then ramping. Plan: a public launch (Product Hunt, Hacker News, founder communities) for the first few hundred, then referrals, affiliates and tool partnerships. Ads avoided (they lose money here). This is the plan's biggest assumption.</t>
  </si>
  <si>
    <t xml:space="preserve">PLAN</t>
  </si>
  <si>
    <t xml:space="preserve">Your real monthly signups after launch.</t>
  </si>
  <si>
    <t xml:space="preserve">Landing about 20 companies in 18 months</t>
  </si>
  <si>
    <t xml:space="preserve">Roughly one a month, through startup programs, accelerators, and free users bringing their own teams. Each is worth far more than a solo user.</t>
  </si>
  <si>
    <t xml:space="preserve">Your real company sign rate.</t>
  </si>
  <si>
    <t xml:space="preserve">$129k (₹1.1 crore) run-rate by month 18</t>
  </si>
  <si>
    <t xml:space="preserve">Pure arithmetic once the three above hold: 10,000 signups at 3% paying, plus 20 companies, at the stated prices. If signups come slower, the shape is the same, just later.</t>
  </si>
  <si>
    <t xml:space="preserve">MATH on a plan</t>
  </si>
  <si>
    <t xml:space="preserve">Recompute from your real signups and conversion.</t>
  </si>
  <si>
    <t xml:space="preserve">The AI prices ($0.14, $0.28 and so on)</t>
  </si>
  <si>
    <t xml:space="preserve">The providers' published July 2026 prices. They change over time, and promotional pricing can end.</t>
  </si>
  <si>
    <t xml:space="preserve">FACT, VERIFY</t>
  </si>
  <si>
    <t xml:space="preserve">The DeepSeek and Gemini pricing pages, and your Llama host cost.</t>
  </si>
  <si>
    <t xml:space="preserve">Payment fees, GST 18%, VAT 20%</t>
  </si>
  <si>
    <t xml:space="preserve">Published rates for Stripe, Razorpay and the tax authorities.</t>
  </si>
  <si>
    <t xml:space="preserve">Confirm the current rates for your account and region.</t>
  </si>
  <si>
    <t xml:space="preserve">₹86 to the dollar</t>
  </si>
  <si>
    <t xml:space="preserve">The market exchange rate, which moves every day.</t>
  </si>
  <si>
    <t xml:space="preserve">FACT, MOVES</t>
  </si>
  <si>
    <t xml:space="preserve">Today's rate.</t>
  </si>
  <si>
    <t xml:space="preserve">Each persona's tasks per day (2, 5, 40, ...)</t>
  </si>
  <si>
    <t xml:space="preserve">These are my assumptions about how different people behave, not measured behaviour.</t>
  </si>
  <si>
    <t xml:space="preserve">Replace with your real usage data as you get it.</t>
  </si>
  <si>
    <t xml:space="preserve">$19 is the right anchor price</t>
  </si>
  <si>
    <t xml:space="preserve">Because ChatGPT and Claude both sit near $20, so buyers already carry that number. This is a judgment, not a calculation.</t>
  </si>
  <si>
    <t xml:space="preserve">JUDGMENT</t>
  </si>
  <si>
    <t xml:space="preserve">Test other prices and watch conversion.</t>
  </si>
  <si>
    <t xml:space="preserve">The advisor, psychology and partnership advice</t>
  </si>
  <si>
    <t xml:space="preserve">Well known marketing playbooks applied to Hatchin. Not real quotes or real opinions about your company.</t>
  </si>
  <si>
    <t xml:space="preserve">SIMULATED</t>
  </si>
  <si>
    <t xml:space="preserve">Treat as informed opinion, not fact.</t>
  </si>
  <si>
    <t xml:space="preserve">GOALS &amp; MILESTONES  ·  what we are aiming for, and why</t>
  </si>
  <si>
    <t xml:space="preserve">The plan turned into clear targets. Each ties to the growth forecast, and each has a reason.</t>
  </si>
  <si>
    <t xml:space="preserve">Goal</t>
  </si>
  <si>
    <t xml:space="preserve">Target</t>
  </si>
  <si>
    <t xml:space="preserve">When</t>
  </si>
  <si>
    <t xml:space="preserve">Why it matters</t>
  </si>
  <si>
    <t xml:space="preserve">Launch and get first users</t>
  </si>
  <si>
    <t xml:space="preserve">100 signups</t>
  </si>
  <si>
    <t xml:space="preserve">Quarter 1</t>
  </si>
  <si>
    <t xml:space="preserve">Prove people want it and seed the funnel.</t>
  </si>
  <si>
    <t xml:space="preserve">Become default-alive</t>
  </si>
  <si>
    <t xml:space="preserve">Cover $170/mo: 1 company or 12 paid</t>
  </si>
  <si>
    <t xml:space="preserve">Quarter 1 to 2</t>
  </si>
  <si>
    <t xml:space="preserve">The business pays for itself, so there is no pressure to raise.</t>
  </si>
  <si>
    <t xml:space="preserve">Land the first companies</t>
  </si>
  <si>
    <t xml:space="preserve">3 paying companies</t>
  </si>
  <si>
    <t xml:space="preserve">Quarter 2 to 3</t>
  </si>
  <si>
    <t xml:space="preserve">Companies are the real engine, worth ~23x a solo user.</t>
  </si>
  <si>
    <t xml:space="preserve">Prove the growth loops</t>
  </si>
  <si>
    <t xml:space="preserve">~$1,600/mo income</t>
  </si>
  <si>
    <t xml:space="preserve">Quarter 3</t>
  </si>
  <si>
    <t xml:space="preserve">Shows referrals and partnerships actually work.</t>
  </si>
  <si>
    <t xml:space="preserve">Fix the leak</t>
  </si>
  <si>
    <t xml:space="preserve">Cut individual churn below 5%/mo</t>
  </si>
  <si>
    <t xml:space="preserve">Ongoing</t>
  </si>
  <si>
    <t xml:space="preserve">Individual retention is the weak spot; annual plans and onboarding fix it.</t>
  </si>
  <si>
    <t xml:space="preserve">Reach a real run-rate</t>
  </si>
  <si>
    <t xml:space="preserve">$10,750/mo, about $129k/yr</t>
  </si>
  <si>
    <t xml:space="preserve">Quarter 6 (18 months)</t>
  </si>
  <si>
    <t xml:space="preserve">A self-sustaining, fundable business.</t>
  </si>
  <si>
    <t xml:space="preserve">Be ready to raise (optional)</t>
  </si>
  <si>
    <t xml:space="preserve">Strong retention and growth</t>
  </si>
  <si>
    <t xml:space="preserve">After month 18</t>
  </si>
  <si>
    <t xml:space="preserve">If you raise, do it from strength, not from need.</t>
  </si>
  <si>
    <t xml:space="preserve">ASSUMPTIONS  ·  Hatchin Unit Economics</t>
  </si>
  <si>
    <t xml:space="preserve">Every yellow/blue cell is an editable input. Black = formula. Change inputs → whole model recalculates.</t>
  </si>
  <si>
    <t xml:space="preserve">LLM TOKEN PRICES  ($ per 1M tokens)</t>
  </si>
  <si>
    <t xml:space="preserve">Parameter</t>
  </si>
  <si>
    <t xml:space="preserve">Value</t>
  </si>
  <si>
    <t xml:space="preserve">Unit</t>
  </si>
  <si>
    <t xml:space="preserve">Source / basis</t>
  </si>
  <si>
    <t xml:space="preserve">DeepSeek V4-Flash · input (cache-miss)</t>
  </si>
  <si>
    <t xml:space="preserve">$/1M</t>
  </si>
  <si>
    <t xml:space="preserve">SRC · DeepSeek API, Jul-2026</t>
  </si>
  <si>
    <t xml:space="preserve">DeepSeek V4-Flash · input (cache-hit)</t>
  </si>
  <si>
    <t xml:space="preserve">SRC · ~98% cache discount</t>
  </si>
  <si>
    <t xml:space="preserve">DeepSeek V4-Flash · output</t>
  </si>
  <si>
    <t xml:space="preserve">SRC</t>
  </si>
  <si>
    <t xml:space="preserve">DeepSeek V4-Pro · input (cache-miss)</t>
  </si>
  <si>
    <t xml:space="preserve">SRC · promo-era</t>
  </si>
  <si>
    <t xml:space="preserve">DeepSeek V4-Pro · input (cache-hit)</t>
  </si>
  <si>
    <t xml:space="preserve">DeepSeek V4-Pro · output</t>
  </si>
  <si>
    <t xml:space="preserve">Gemini 2.5-Flash · input</t>
  </si>
  <si>
    <t xml:space="preserve">SRC · code COST_TABLE</t>
  </si>
  <si>
    <t xml:space="preserve">Gemini 2.5-Flash · output</t>
  </si>
  <si>
    <t xml:space="preserve">Gemini 2.5-Pro · input</t>
  </si>
  <si>
    <t xml:space="preserve">Gemini 2.5-Pro · output</t>
  </si>
  <si>
    <t xml:space="preserve">Llama 3.3-70B (open source) · input</t>
  </si>
  <si>
    <t xml:space="preserve">FREE · code books ₹0 (Groq free tier / self-host)</t>
  </si>
  <si>
    <t xml:space="preserve">Llama 3.3-70B (open source) · output</t>
  </si>
  <si>
    <t xml:space="preserve">FREE · open-source Meta model</t>
  </si>
  <si>
    <t xml:space="preserve">TOKEN USAGE PROFILE (per interaction)</t>
  </si>
  <si>
    <t xml:space="preserve">Chat input · static prefix (cacheable)</t>
  </si>
  <si>
    <t xml:space="preserve">tokens</t>
  </si>
  <si>
    <t xml:space="preserve">EST · role identity + 14 rules</t>
  </si>
  <si>
    <t xml:space="preserve">Chat input · dynamic suffix</t>
  </si>
  <si>
    <t xml:space="preserve">EST · history + user msg</t>
  </si>
  <si>
    <t xml:space="preserve">Chat output (visible + reasoning)</t>
  </si>
  <si>
    <t xml:space="preserve">EST</t>
  </si>
  <si>
    <t xml:space="preserve">Cache-hit rate (base)</t>
  </si>
  <si>
    <t xml:space="preserve">%</t>
  </si>
  <si>
    <t xml:space="preserve">EST · 65-80% at scale improves margin</t>
  </si>
  <si>
    <t xml:space="preserve">Autonomy run · input (task+review)</t>
  </si>
  <si>
    <t xml:space="preserve">Autonomy run · output (task+review)</t>
  </si>
  <si>
    <t xml:space="preserve">PROVIDER MIX (share of traffic)</t>
  </si>
  <si>
    <t xml:space="preserve">Chat · DeepSeek Flash share</t>
  </si>
  <si>
    <t xml:space="preserve">EST · standard / complex messages</t>
  </si>
  <si>
    <t xml:space="preserve">Chat · Gemini Flash share</t>
  </si>
  <si>
    <t xml:space="preserve">EST · fallback</t>
  </si>
  <si>
    <t xml:space="preserve">Chat · Llama (open source, free) share</t>
  </si>
  <si>
    <t xml:space="preserve">EST · simple messages, ₹0</t>
  </si>
  <si>
    <t xml:space="preserve">Autonomy · DeepSeek Pro share</t>
  </si>
  <si>
    <t xml:space="preserve">Autonomy · Gemini Pro share</t>
  </si>
  <si>
    <t xml:space="preserve">REFERENCE · naive per-unit cost from list prices (computed)</t>
  </si>
  <si>
    <t xml:space="preserve">Value ($)</t>
  </si>
  <si>
    <t xml:space="preserve">Note</t>
  </si>
  <si>
    <t xml:space="preserve">DeepSeek Flash · per chat msg</t>
  </si>
  <si>
    <t xml:space="preserve">Shown so you can see how the effective cost below was derived from raw token prices.</t>
  </si>
  <si>
    <t xml:space="preserve">Gemini Flash · per chat msg</t>
  </si>
  <si>
    <t xml:space="preserve">Llama (open source, free) · per chat msg</t>
  </si>
  <si>
    <t xml:space="preserve">Blended · per chat msg (naive)</t>
  </si>
  <si>
    <t xml:space="preserve">DeepSeek Pro · per autonomy run</t>
  </si>
  <si>
    <t xml:space="preserve">Gemini Pro · per autonomy run</t>
  </si>
  <si>
    <t xml:space="preserve">Blended · per autonomy run (naive)</t>
  </si>
  <si>
    <t xml:space="preserve">EFFECTIVE LLM COST  ·  drives the model (&lt; naive: heavy caching cuts input ~98%)</t>
  </si>
  <si>
    <t xml:space="preserve">Effective chat cost · Free user</t>
  </si>
  <si>
    <t xml:space="preserve">$/msg</t>
  </si>
  <si>
    <t xml:space="preserve">CALIB · many simple msgs run free on Llama</t>
  </si>
  <si>
    <t xml:space="preserve">Effective chat cost · Pro / B2B</t>
  </si>
  <si>
    <t xml:space="preserve">CALIB · simple free on Llama, rest on DeepSeek</t>
  </si>
  <si>
    <t xml:space="preserve">Effective autonomy run cost</t>
  </si>
  <si>
    <t xml:space="preserve">$/run</t>
  </si>
  <si>
    <t xml:space="preserve">CALIB · DeepSeek Pro blend</t>
  </si>
  <si>
    <t xml:space="preserve">USAGE PER USER (per month)</t>
  </si>
  <si>
    <t xml:space="preserve">Free · chat msgs / mo</t>
  </si>
  <si>
    <t xml:space="preserve">count</t>
  </si>
  <si>
    <t xml:space="preserve">Free · autonomy runs / mo</t>
  </si>
  <si>
    <t xml:space="preserve">SRC · autonomy off on Free</t>
  </si>
  <si>
    <t xml:space="preserve">Pro · chat msgs / mo</t>
  </si>
  <si>
    <t xml:space="preserve">EST · ~30/day</t>
  </si>
  <si>
    <t xml:space="preserve">Pro · autonomy runs / mo</t>
  </si>
  <si>
    <t xml:space="preserve">EST · ~5/day (cap 50/day)</t>
  </si>
  <si>
    <t xml:space="preserve">B2B seat · chat msgs / mo</t>
  </si>
  <si>
    <t xml:space="preserve">EST · ~50/day</t>
  </si>
  <si>
    <t xml:space="preserve">B2B seat · autonomy runs / mo</t>
  </si>
  <si>
    <t xml:space="preserve">EST · ~10/day</t>
  </si>
  <si>
    <t xml:space="preserve">PAYMENT / TAX / FX</t>
  </si>
  <si>
    <t xml:space="preserve">Stripe US · fee %</t>
  </si>
  <si>
    <t xml:space="preserve">Stripe US · fixed</t>
  </si>
  <si>
    <t xml:space="preserve">Stripe UK · fee %</t>
  </si>
  <si>
    <t xml:space="preserve">SRC · domestic</t>
  </si>
  <si>
    <t xml:space="preserve">Stripe UK · fixed (£)</t>
  </si>
  <si>
    <t xml:space="preserve">India · fee % (Razorpay incl GST)</t>
  </si>
  <si>
    <t xml:space="preserve">SRC · Stripe invite-only in IN</t>
  </si>
  <si>
    <t xml:space="preserve">India · GST %</t>
  </si>
  <si>
    <t xml:space="preserve">SRC · seller remits</t>
  </si>
  <si>
    <t xml:space="preserve">UK · VAT %</t>
  </si>
  <si>
    <t xml:space="preserve">SRC · price VAT-inclusive</t>
  </si>
  <si>
    <t xml:space="preserve">FX · INR per USD</t>
  </si>
  <si>
    <t xml:space="preserve">FX · USD per GBP</t>
  </si>
  <si>
    <t xml:space="preserve">INFRA &amp; SUPPORT (per user / month)</t>
  </si>
  <si>
    <t xml:space="preserve">Variable infra · Free</t>
  </si>
  <si>
    <t xml:space="preserve">$/user/mo</t>
  </si>
  <si>
    <t xml:space="preserve">Variable infra · Pro</t>
  </si>
  <si>
    <t xml:space="preserve">Variable infra · B2B seat</t>
  </si>
  <si>
    <t xml:space="preserve">Allocated fixed infra · Free</t>
  </si>
  <si>
    <t xml:space="preserve">Allocated fixed infra · Pro</t>
  </si>
  <si>
    <t xml:space="preserve">Allocated fixed infra · B2B seat</t>
  </si>
  <si>
    <t xml:space="preserve">Support alloc · Free</t>
  </si>
  <si>
    <t xml:space="preserve">Support alloc · Pro</t>
  </si>
  <si>
    <t xml:space="preserve">Support alloc · B2B seat</t>
  </si>
  <si>
    <t xml:space="preserve">B2B payment fee / seat (annual-amortized)</t>
  </si>
  <si>
    <t xml:space="preserve">FIXED COSTS (per month)</t>
  </si>
  <si>
    <t xml:space="preserve">Supabase Pro</t>
  </si>
  <si>
    <t xml:space="preserve">$/mo</t>
  </si>
  <si>
    <t xml:space="preserve">incl $10 compute credit, 8GB DB</t>
  </si>
  <si>
    <t xml:space="preserve">App hosting (Fly.io single node)</t>
  </si>
  <si>
    <t xml:space="preserve">SRC/EST</t>
  </si>
  <si>
    <t xml:space="preserve">Domain / email / misc</t>
  </si>
  <si>
    <t xml:space="preserve">Dev tools / monitoring / analytics</t>
  </si>
  <si>
    <t xml:space="preserve">Founder draw</t>
  </si>
  <si>
    <t xml:space="preserve">SET TO YOUR SALARY to model burn</t>
  </si>
  <si>
    <t xml:space="preserve">GO-TO-MARKET / BEHAVIORAL</t>
  </si>
  <si>
    <t xml:space="preserve">Free → Paid conversion %</t>
  </si>
  <si>
    <t xml:space="preserve">SRC/EST · median 4.5%, range 2-5%</t>
  </si>
  <si>
    <t xml:space="preserve">B2C monthly churn %</t>
  </si>
  <si>
    <t xml:space="preserve">SRC · prosumer self-serve</t>
  </si>
  <si>
    <t xml:space="preserve">India B2C monthly churn %</t>
  </si>
  <si>
    <t xml:space="preserve">EST · dunning friction</t>
  </si>
  <si>
    <t xml:space="preserve">B2B monthly logo churn %</t>
  </si>
  <si>
    <t xml:space="preserve">SRC · SMB B2B</t>
  </si>
  <si>
    <t xml:space="preserve">Paid mix · US %</t>
  </si>
  <si>
    <t xml:space="preserve">Paid mix · UK %</t>
  </si>
  <si>
    <t xml:space="preserve">Paid mix · India %</t>
  </si>
  <si>
    <t xml:space="preserve">COST TO SERVE  ($ per user / month)</t>
  </si>
  <si>
    <t xml:space="preserve">Derived from Assumptions. Marginal = cash out the door per user. Fully-loaded = + allocated fixed &amp; support.</t>
  </si>
  <si>
    <t xml:space="preserve">Line item</t>
  </si>
  <si>
    <t xml:space="preserve">Free</t>
  </si>
  <si>
    <t xml:space="preserve">Pro (B2C)</t>
  </si>
  <si>
    <t xml:space="preserve">B2B seat</t>
  </si>
  <si>
    <t xml:space="preserve">LLM · chat</t>
  </si>
  <si>
    <t xml:space="preserve">LLM · autonomy</t>
  </si>
  <si>
    <t xml:space="preserve">LLM subtotal</t>
  </si>
  <si>
    <t xml:space="preserve">Payment fee (monthly bill)</t>
  </si>
  <si>
    <t xml:space="preserve">Variable infra</t>
  </si>
  <si>
    <t xml:space="preserve">MARGINAL subtotal</t>
  </si>
  <si>
    <t xml:space="preserve">Allocated fixed infra</t>
  </si>
  <si>
    <t xml:space="preserve">Support-time allocation</t>
  </si>
  <si>
    <t xml:space="preserve">FULLY-LOADED subtotal</t>
  </si>
  <si>
    <t xml:space="preserve">Heavy-user LLM ceiling (worst case)</t>
  </si>
  <si>
    <t xml:space="preserve">ONE BACKGROUND TASK: the $0.009 is an AVERAGE, tasks vary a lot</t>
  </si>
  <si>
    <t xml:space="preserve">Task type</t>
  </si>
  <si>
    <t xml:space="preserve">Tokens used</t>
  </si>
  <si>
    <t xml:space="preserve">Cost $</t>
  </si>
  <si>
    <t xml:space="preserve">Cost ₹</t>
  </si>
  <si>
    <t xml:space="preserve">Light (quick answer, small lookup)</t>
  </si>
  <si>
    <t xml:space="preserve">Typical / average (plan, short doc + review)</t>
  </si>
  <si>
    <t xml:space="preserve">Heavy (full document, deep research)</t>
  </si>
  <si>
    <t xml:space="preserve">Because one task can cost 8x more than another, the cap is best run as a TOKEN budget (the way Claude does), not a flat count of tasks. Then the worst-case cost holds no matter the task mix. 'Tasks' is just the friendly way to explain it to users.</t>
  </si>
  <si>
    <t xml:space="preserve">WHAT A TOKEN IS (so the prices mean something)</t>
  </si>
  <si>
    <t xml:space="preserve">1 token</t>
  </si>
  <si>
    <t xml:space="preserve">about 3/4 of a word (~4 characters)</t>
  </si>
  <si>
    <t xml:space="preserve">1 million tokens</t>
  </si>
  <si>
    <t xml:space="preserve">roughly 750,000 words, about 10 novels or 1,500 pages</t>
  </si>
  <si>
    <t xml:space="preserve">1 million tokens, in chat</t>
  </si>
  <si>
    <t xml:space="preserve">about 300 back-and-forth messages</t>
  </si>
  <si>
    <t xml:space="preserve">$1 (₹86) of AI spend</t>
  </si>
  <si>
    <t xml:space="preserve">covers roughly 2,000 chat messages</t>
  </si>
  <si>
    <t xml:space="preserve">RUNNING COSTS  ·  everything it takes to keep Hatchin live</t>
  </si>
  <si>
    <t xml:space="preserve">The fixed monthly cost to keep the lights on, whether you have 1 user or 1,000. Payment fees and the AI cost of serving users are NOT here; those grow per user and live in Cost to Serve.</t>
  </si>
  <si>
    <t xml:space="preserve">What it is</t>
  </si>
  <si>
    <t xml:space="preserve">₹/mo</t>
  </si>
  <si>
    <t xml:space="preserve">Database (Supabase Pro)</t>
  </si>
  <si>
    <t xml:space="preserve">auth, storage, Postgres</t>
  </si>
  <si>
    <t xml:space="preserve">Backend hosting (Fly.io)</t>
  </si>
  <si>
    <t xml:space="preserve">the Node server that runs the app</t>
  </si>
  <si>
    <t xml:space="preserve">Domain name</t>
  </si>
  <si>
    <t xml:space="preserve">about $18 a year</t>
  </si>
  <si>
    <t xml:space="preserve">Transactional email (Resend)</t>
  </si>
  <si>
    <t xml:space="preserve">signup, reset, notification emails</t>
  </si>
  <si>
    <t xml:space="preserve">Marketing email tool</t>
  </si>
  <si>
    <t xml:space="preserve">newsletters, onboarding sequences</t>
  </si>
  <si>
    <t xml:space="preserve">Error monitoring (Sentry)</t>
  </si>
  <si>
    <t xml:space="preserve">catches crashes before users complain</t>
  </si>
  <si>
    <t xml:space="preserve">Product analytics (PostHog)</t>
  </si>
  <si>
    <t xml:space="preserve">free tier at this scale</t>
  </si>
  <si>
    <t xml:space="preserve">Uptime monitoring</t>
  </si>
  <si>
    <t xml:space="preserve">alerts if the site goes down</t>
  </si>
  <si>
    <t xml:space="preserve">AI development and testing</t>
  </si>
  <si>
    <t xml:space="preserve">your own usage while building</t>
  </si>
  <si>
    <t xml:space="preserve">Backups and object storage</t>
  </si>
  <si>
    <t xml:space="preserve">safety net for data</t>
  </si>
  <si>
    <t xml:space="preserve">Misc (SSL, CDN, small tools)</t>
  </si>
  <si>
    <t xml:space="preserve">Cloudflare free tier, certificates</t>
  </si>
  <si>
    <t xml:space="preserve">TOTAL to keep it live</t>
  </si>
  <si>
    <t xml:space="preserve">This total ($170) is the fixed burn used in Runway and Break-even. It barely grows until you hire; that is why margins are strong. Add a founder salary on the Assumptions tab to see real burn.</t>
  </si>
  <si>
    <t xml:space="preserve">USAGE WINDOWS  ·  the Claude-style cap that protects margin</t>
  </si>
  <si>
    <t xml:space="preserve">Autonomy (background AI work) draws from a budget that refills every 5 hours, plus a weekly ceiling. This bounds worst-case AI cost per user, which is what makes low prices and free trials financially safe.</t>
  </si>
  <si>
    <t xml:space="preserve">Tier</t>
  </si>
  <si>
    <t xml:space="preserve">Runs / 5h</t>
  </si>
  <si>
    <t xml:space="preserve">Weekly cap</t>
  </si>
  <si>
    <t xml:space="preserve">Max runs/mo</t>
  </si>
  <si>
    <t xml:space="preserve">Worst AI $</t>
  </si>
  <si>
    <t xml:space="preserve">Worst AI ₹</t>
  </si>
  <si>
    <t xml:space="preserve">Worst total $</t>
  </si>
  <si>
    <t xml:space="preserve">Net rev $</t>
  </si>
  <si>
    <t xml:space="preserve">Worst margin</t>
  </si>
  <si>
    <t xml:space="preserve">Typical margin</t>
  </si>
  <si>
    <t xml:space="preserve">Free (autonomy off)</t>
  </si>
  <si>
    <t xml:space="preserve">n/a</t>
  </si>
  <si>
    <t xml:space="preserve">Pro · US / UK ($19)</t>
  </si>
  <si>
    <t xml:space="preserve">Pro · India (₹699)</t>
  </si>
  <si>
    <t xml:space="preserve">Studio ($39)</t>
  </si>
  <si>
    <t xml:space="preserve">B2B seat ($29)</t>
  </si>
  <si>
    <t xml:space="preserve">WITHOUT a cap (why this matters)</t>
  </si>
  <si>
    <t xml:space="preserve">Scenario</t>
  </si>
  <si>
    <t xml:space="preserve">Runs/mo</t>
  </si>
  <si>
    <t xml:space="preserve">AI $</t>
  </si>
  <si>
    <t xml:space="preserve">AI ₹</t>
  </si>
  <si>
    <t xml:space="preserve">Total $</t>
  </si>
  <si>
    <t xml:space="preserve">Margin</t>
  </si>
  <si>
    <t xml:space="preserve">Heavy India user, 50 runs/day, uncapped</t>
  </si>
  <si>
    <t xml:space="preserve">The cap turns a catastrophic loss into a safe, positive margin, at every price.</t>
  </si>
  <si>
    <t xml:space="preserve">Overage valve: a $5 (₹430) top-up buys +100 runs, or the cap prompts an upgrade. Extra revenue, never a surprise bill.</t>
  </si>
  <si>
    <t xml:space="preserve">IF A USER NEVER STOPS (maxes the cap every day and week) · the absolute ceiling</t>
  </si>
  <si>
    <t xml:space="preserve">Runs/day</t>
  </si>
  <si>
    <t xml:space="preserve">$/day</t>
  </si>
  <si>
    <t xml:space="preserve">₹/day</t>
  </si>
  <si>
    <t xml:space="preserve">Runs/week</t>
  </si>
  <si>
    <t xml:space="preserve">$/week</t>
  </si>
  <si>
    <t xml:space="preserve">₹/week</t>
  </si>
  <si>
    <t xml:space="preserve">Pro · US / UK</t>
  </si>
  <si>
    <t xml:space="preserve">Pro · India</t>
  </si>
  <si>
    <t xml:space="preserve">Studio</t>
  </si>
  <si>
    <t xml:space="preserve">This is the MOST a user can ever cost us in AI. When the allowance finishes, background work pauses until it resets (5 hours, or the week); we run nothing in the meantime, so there is no runaway cost and the reset itself costs nothing. Even a user who never sleeps cannot pass the weekly ceiling. The $/mo column here is the same 'worst case' cost as the table above.</t>
  </si>
  <si>
    <t xml:space="preserve">B2C PRICING BY REGION</t>
  </si>
  <si>
    <t xml:space="preserve">Headline prices (row 5) are your levers. India price is tax-inclusive; UK is VAT-inclusive.</t>
  </si>
  <si>
    <t xml:space="preserve">Metric</t>
  </si>
  <si>
    <t xml:space="preserve">US</t>
  </si>
  <si>
    <t xml:space="preserve">UK</t>
  </si>
  <si>
    <t xml:space="preserve">India</t>
  </si>
  <si>
    <t xml:space="preserve">Headline price (local)</t>
  </si>
  <si>
    <t xml:space="preserve">Currency</t>
  </si>
  <si>
    <t xml:space="preserve">USD</t>
  </si>
  <si>
    <t xml:space="preserve">GBP</t>
  </si>
  <si>
    <t xml:space="preserve">INR</t>
  </si>
  <si>
    <t xml:space="preserve">Headline price (USD)</t>
  </si>
  <si>
    <t xml:space="preserve">Net of tax (USD)</t>
  </si>
  <si>
    <t xml:space="preserve">Payment fee (memo · already inside cost)</t>
  </si>
  <si>
    <t xml:space="preserve">REVENUE after tax (USD)</t>
  </si>
  <si>
    <t xml:space="preserve">Cost to serve (incl payment fee)</t>
  </si>
  <si>
    <t xml:space="preserve">CONTRIBUTION MARGIN ($)</t>
  </si>
  <si>
    <t xml:space="preserve">GROSS MARGIN %</t>
  </si>
  <si>
    <t xml:space="preserve">INDIA MARGIN-COMPRESSION CURVE</t>
  </si>
  <si>
    <t xml:space="preserve">Price is global (USD LLM cost is fixed). Watch where the line crosses zero.</t>
  </si>
  <si>
    <t xml:space="preserve">India price (₹)</t>
  </si>
  <si>
    <t xml:space="preserve">Net rev (USD)</t>
  </si>
  <si>
    <t xml:space="preserve">− loaded cost</t>
  </si>
  <si>
    <t xml:space="preserve">Margin %</t>
  </si>
  <si>
    <t xml:space="preserve">← break-even ≈ ₹350/mo (fully-loaded)</t>
  </si>
  <si>
    <t xml:space="preserve">B2C PERSONAS  ·  five real people, each run through the cap</t>
  </si>
  <si>
    <t xml:space="preserve">The headline margins use 'Daily Builder Devi' (the average). Here is the full spread. 'Runs billed' = the smaller of what they want and the cap, which is how the cap protects you. All money in $ and ₹.</t>
  </si>
  <si>
    <t xml:space="preserve">Persona</t>
  </si>
  <si>
    <t xml:space="preserve">Chat/mo</t>
  </si>
  <si>
    <t xml:space="preserve">Runs wanted</t>
  </si>
  <si>
    <t xml:space="preserve">Cap/mo</t>
  </si>
  <si>
    <t xml:space="preserve">Runs billed</t>
  </si>
  <si>
    <t xml:space="preserve">AI cost $</t>
  </si>
  <si>
    <t xml:space="preserve">Non-AI $</t>
  </si>
  <si>
    <t xml:space="preserve">Total cost $</t>
  </si>
  <si>
    <t xml:space="preserve">You keep $</t>
  </si>
  <si>
    <t xml:space="preserve">Profit $</t>
  </si>
  <si>
    <t xml:space="preserve">Profit ₹</t>
  </si>
  <si>
    <t xml:space="preserve">Curious Lurker</t>
  </si>
  <si>
    <t xml:space="preserve">Side-Project Sam</t>
  </si>
  <si>
    <t xml:space="preserve">Pro · US</t>
  </si>
  <si>
    <t xml:space="preserve">Daily Builder Devi</t>
  </si>
  <si>
    <t xml:space="preserve">Devi, in India</t>
  </si>
  <si>
    <t xml:space="preserve">Power User Priya</t>
  </si>
  <si>
    <t xml:space="preserve">Agency Ace</t>
  </si>
  <si>
    <t xml:space="preserve">Same Priya, if there were NO cap</t>
  </si>
  <si>
    <t xml:space="preserve">Power User Priya (uncapped)</t>
  </si>
  <si>
    <t xml:space="preserve">Read Priya's two rows together: the cap lifts her margin from ~27% to ~43% and nudges her to upgrade to Studio.</t>
  </si>
  <si>
    <t xml:space="preserve">B2B MODEL  ·  per-seat, sell to the whole team</t>
  </si>
  <si>
    <t xml:space="preserve">The profit engine: one account is worth ~23× a single B2C Pro. Blue = inputs.</t>
  </si>
  <si>
    <t xml:space="preserve">10-seat co.</t>
  </si>
  <si>
    <t xml:space="preserve">50-seat co.</t>
  </si>
  <si>
    <t xml:space="preserve">Seat price (volume tier)</t>
  </si>
  <si>
    <t xml:space="preserve">Seats</t>
  </si>
  <si>
    <t xml:space="preserve">Active seats (70%)</t>
  </si>
  <si>
    <t xml:space="preserve">Monthly account revenue (MRR)</t>
  </si>
  <si>
    <t xml:space="preserve">ARR</t>
  </si>
  <si>
    <t xml:space="preserve">LLM cost (active seats)</t>
  </si>
  <si>
    <t xml:space="preserve">Payment fee</t>
  </si>
  <si>
    <t xml:space="preserve">Admin / SSO / support / CSM</t>
  </si>
  <si>
    <t xml:space="preserve">COGS</t>
  </si>
  <si>
    <t xml:space="preserve">Gross profit</t>
  </si>
  <si>
    <t xml:space="preserve">Gross margin %</t>
  </si>
  <si>
    <t xml:space="preserve">Company monthly churn</t>
  </si>
  <si>
    <t xml:space="preserve">ACCOUNT LTV</t>
  </si>
  <si>
    <t xml:space="preserve">LTV per seat</t>
  </si>
  <si>
    <t xml:space="preserve">COMPANY SIZES  ·  five B2B accounts, small to large</t>
  </si>
  <si>
    <t xml:space="preserve">Margin holds around 83% at every size, and lifetime value grows fast. Autonomy is a shared pool that scales with seats, so bigger teams simply get a bigger budget. All money in $ and ₹.</t>
  </si>
  <si>
    <t xml:space="preserve">Company</t>
  </si>
  <si>
    <t xml:space="preserve">Seat $</t>
  </si>
  <si>
    <t xml:space="preserve">They pay/mo $</t>
  </si>
  <si>
    <t xml:space="preserve">They pay/mo ₹</t>
  </si>
  <si>
    <t xml:space="preserve">Active seats</t>
  </si>
  <si>
    <t xml:space="preserve">Payment $</t>
  </si>
  <si>
    <t xml:space="preserve">Infra $</t>
  </si>
  <si>
    <t xml:space="preserve">Admin $</t>
  </si>
  <si>
    <t xml:space="preserve">Your cost $</t>
  </si>
  <si>
    <t xml:space="preserve">You profit $</t>
  </si>
  <si>
    <t xml:space="preserve">Worth (LTV) $</t>
  </si>
  <si>
    <t xml:space="preserve">Worth (LTV) ₹</t>
  </si>
  <si>
    <t xml:space="preserve">Freelance duo</t>
  </si>
  <si>
    <t xml:space="preserve">Small startup</t>
  </si>
  <si>
    <t xml:space="preserve">Growing team</t>
  </si>
  <si>
    <t xml:space="preserve">Scaling SMB</t>
  </si>
  <si>
    <t xml:space="preserve">Larger SMB</t>
  </si>
  <si>
    <t xml:space="preserve">BLENDED P&amp;L  ·  three scales</t>
  </si>
  <si>
    <t xml:space="preserve">B2C from signups×conversion. B2B is an overlay (separate motion) · blue cells per scenario.</t>
  </si>
  <si>
    <t xml:space="preserve">Line</t>
  </si>
  <si>
    <t xml:space="preserve">1,000 signups</t>
  </si>
  <si>
    <t xml:space="preserve">10,000 signups</t>
  </si>
  <si>
    <t xml:space="preserve">Signups</t>
  </si>
  <si>
    <t xml:space="preserve">Conversion %</t>
  </si>
  <si>
    <t xml:space="preserve">Free users</t>
  </si>
  <si>
    <t xml:space="preserve">B2C Pro customers</t>
  </si>
  <si>
    <t xml:space="preserve">Blended B2C ARPU (USD)</t>
  </si>
  <si>
    <t xml:space="preserve">B2B seats (accounts)</t>
  </si>
  <si>
    <t xml:space="preserve">0 (0)</t>
  </si>
  <si>
    <t xml:space="preserve">30 (2)</t>
  </si>
  <si>
    <t xml:space="preserve">400 (20)</t>
  </si>
  <si>
    <t xml:space="preserve">B2C MRR</t>
  </si>
  <si>
    <t xml:space="preserve">B2B MRR</t>
  </si>
  <si>
    <t xml:space="preserve">TOTAL MRR</t>
  </si>
  <si>
    <t xml:space="preserve">COGS · B2C paid</t>
  </si>
  <si>
    <t xml:space="preserve">COGS · B2B</t>
  </si>
  <si>
    <t xml:space="preserve">COGS · free-tier drag</t>
  </si>
  <si>
    <t xml:space="preserve">GROSS PROFIT</t>
  </si>
  <si>
    <t xml:space="preserve">Support (VA step cost)</t>
  </si>
  <si>
    <t xml:space="preserve">Fixed infra + tools</t>
  </si>
  <si>
    <t xml:space="preserve">OPERATING PROFIT / (LOSS)</t>
  </si>
  <si>
    <t xml:space="preserve">GROWTH FORECAST  ·  an illustrative 18-month path (a plan, not a promise)</t>
  </si>
  <si>
    <t xml:space="preserve">Pre-revenue. This is one reasonable way growth could go if the plan works. Signups and company count are the inputs (blue); the rest follows from the model. Default-alive (~$227 MRR) is crossed almost at once.</t>
  </si>
  <si>
    <t xml:space="preserve">Quarter</t>
  </si>
  <si>
    <t xml:space="preserve">Paying</t>
  </si>
  <si>
    <t xml:space="preserve">Companies</t>
  </si>
  <si>
    <t xml:space="preserve">Solo MRR $</t>
  </si>
  <si>
    <t xml:space="preserve">Company MRR $</t>
  </si>
  <si>
    <t xml:space="preserve">Total MRR $</t>
  </si>
  <si>
    <t xml:space="preserve">Run-rate ARR $</t>
  </si>
  <si>
    <t xml:space="preserve">Total MRR ₹</t>
  </si>
  <si>
    <t xml:space="preserve">Q1</t>
  </si>
  <si>
    <t xml:space="preserve">Q2</t>
  </si>
  <si>
    <t xml:space="preserve">Q3</t>
  </si>
  <si>
    <t xml:space="preserve">Q4</t>
  </si>
  <si>
    <t xml:space="preserve">Q5</t>
  </si>
  <si>
    <t xml:space="preserve">Q6</t>
  </si>
  <si>
    <t xml:space="preserve">Why this is reachable: ~550 signups/month on average (launch burst first, then referrals + affiliates + tool partnerships; no paid ads), 3 in 100 pay, and ~1 company signs per month. Those three inputs are the plan's real assumptions; the money then follows by arithmetic. Uses conservative small (10-seat) companies, so larger accounts lift this further.</t>
  </si>
  <si>
    <t xml:space="preserve">SENSITIVITY  ·  what if things go worse or better</t>
  </si>
  <si>
    <t xml:space="preserve">Same scale (10,000 signups). Change the three big unknowns and see the monthly gross profit. The headline: even the downside case makes money.</t>
  </si>
  <si>
    <t xml:space="preserve">Driver</t>
  </si>
  <si>
    <t xml:space="preserve">Downside</t>
  </si>
  <si>
    <t xml:space="preserve">Base case</t>
  </si>
  <si>
    <t xml:space="preserve">Upside</t>
  </si>
  <si>
    <t xml:space="preserve">Free to paid conversion</t>
  </si>
  <si>
    <t xml:space="preserve">AI price vs today</t>
  </si>
  <si>
    <t xml:space="preserve">Companies (accounts)</t>
  </si>
  <si>
    <t xml:space="preserve">Signups (fixed)</t>
  </si>
  <si>
    <t xml:space="preserve">Paying solos</t>
  </si>
  <si>
    <t xml:space="preserve">Cost to serve (with AI multiplier) $</t>
  </si>
  <si>
    <t xml:space="preserve">Monthly gross profit $</t>
  </si>
  <si>
    <t xml:space="preserve">Monthly gross profit ₹</t>
  </si>
  <si>
    <t xml:space="preserve">Even the downside stays profitable. Conversion and AI price move the result most, so watch those two.</t>
  </si>
  <si>
    <t xml:space="preserve">MARKET SIZE  ·  how big is this (rough, top-down)</t>
  </si>
  <si>
    <t xml:space="preserve">Illustrative sizing to show the ceiling is high, not a promise. All inputs are estimates you can refine. The point: you need only a tiny share to build a real business.</t>
  </si>
  <si>
    <t xml:space="preserve">Item</t>
  </si>
  <si>
    <t xml:space="preserve">As money</t>
  </si>
  <si>
    <t xml:space="preserve">Reachable customers (US/UK/India + similar)</t>
  </si>
  <si>
    <t xml:space="preserve">EST · solopreneurs, freelancers, small teams who pay for tools</t>
  </si>
  <si>
    <t xml:space="preserve">Blended price per customer / year</t>
  </si>
  <si>
    <t xml:space="preserve">EST · mix of solo and company plans</t>
  </si>
  <si>
    <t xml:space="preserve">Reachable market / year</t>
  </si>
  <si>
    <t xml:space="preserve">If you capture 0.5% (50,000 customers)</t>
  </si>
  <si>
    <t xml:space="preserve">a real, venture-scale business</t>
  </si>
  <si>
    <t xml:space="preserve">If you capture 1% (100,000 customers)</t>
  </si>
  <si>
    <t xml:space="preserve">Wider market, long term (all small biz + knowledge freelancers globally): 100M+ people, a $10B+ per year market. Directional only.</t>
  </si>
  <si>
    <t xml:space="preserve">The takeaway: capturing well under 1% of the reachable market is a strong outcome. Size is not the constraint; execution is.</t>
  </si>
  <si>
    <t xml:space="preserve">KEY METRICS  ·  the numbers investors screen on</t>
  </si>
  <si>
    <t xml:space="preserve">The good and the honest bad. The headline weakness: individual customers churn fast, so the durable revenue is companies. Retention math is (1 minus monthly churn) to the power 12.</t>
  </si>
  <si>
    <t xml:space="preserve">What it means</t>
  </si>
  <si>
    <t xml:space="preserve">Blended gross margin</t>
  </si>
  <si>
    <t xml:space="preserve">Kept from each sale after costs. Very healthy for software.</t>
  </si>
  <si>
    <t xml:space="preserve">B2C monthly churn</t>
  </si>
  <si>
    <t xml:space="preserve">Individuals who cancel each month.</t>
  </si>
  <si>
    <t xml:space="preserve">B2C yearly retention</t>
  </si>
  <si>
    <t xml:space="preserve">Only about half of individuals stay a year. This is the weak spot.</t>
  </si>
  <si>
    <t xml:space="preserve">India B2C yearly retention</t>
  </si>
  <si>
    <t xml:space="preserve">Lower again, due to card renewal failures. Push annual plans.</t>
  </si>
  <si>
    <t xml:space="preserve">Companies are far stickier.</t>
  </si>
  <si>
    <t xml:space="preserve">Company yearly retention</t>
  </si>
  <si>
    <t xml:space="preserve">About three quarters of companies stay a year.</t>
  </si>
  <si>
    <t xml:space="preserve">Company seat expansion / year</t>
  </si>
  <si>
    <t xml:space="preserve">EST · surviving teams add seats over time.</t>
  </si>
  <si>
    <t xml:space="preserve">Company net revenue retention</t>
  </si>
  <si>
    <t xml:space="preserve">Retention plus seat growth. Aim to push this above 100%.</t>
  </si>
  <si>
    <t xml:space="preserve">B2C net revenue retention</t>
  </si>
  <si>
    <t xml:space="preserve">Little expansion, so about equal to retention. Leaky.</t>
  </si>
  <si>
    <t xml:space="preserve">LTV to CAC · best (company)</t>
  </si>
  <si>
    <t xml:space="preserve">Every $1 to win a company returns ~$11. Excellent (target is 3x+).</t>
  </si>
  <si>
    <t xml:space="preserve">LTV to CAC · individual (organic)</t>
  </si>
  <si>
    <t xml:space="preserve">Healthy, as long as you avoid paid ads.</t>
  </si>
  <si>
    <t xml:space="preserve">CAC payback · individual</t>
  </si>
  <si>
    <t xml:space="preserve">Months to earn back the cost of winning a customer.</t>
  </si>
  <si>
    <t xml:space="preserve">Rule of 40 (growth% + margin%)</t>
  </si>
  <si>
    <t xml:space="preserve">well above 40</t>
  </si>
  <si>
    <t xml:space="preserve">In the growth phase, growth alone clears it. A strong sign.</t>
  </si>
  <si>
    <t xml:space="preserve">Burn multiple (lean, $0 salary)</t>
  </si>
  <si>
    <t xml:space="preserve">near 0</t>
  </si>
  <si>
    <t xml:space="preserve">Dollars burned per dollar of new revenue. Near 0 is very capital efficient.</t>
  </si>
  <si>
    <t xml:space="preserve">The story: individuals are a leaky bucket (about half leave in a year), companies are durable and grow. So the plan leans on companies for lasting revenue, and on annual plans plus better onboarding to fix the B2C leak. That is the single most important thing to improve.</t>
  </si>
  <si>
    <t xml:space="preserve">OPEX &amp; TAXES  ·  the real cost of a team, and tax on profit</t>
  </si>
  <si>
    <t xml:space="preserve">Being straight: today's $170 burn is a solo founder. A funded company has salaries, and a profitable one pays tax. Here is the honest picture at 10,000 signups under three team sizes.</t>
  </si>
  <si>
    <t xml:space="preserve">HIRING PLAN (illustrative)</t>
  </si>
  <si>
    <t xml:space="preserve">Phase</t>
  </si>
  <si>
    <t xml:space="preserve">People cost/mo $</t>
  </si>
  <si>
    <t xml:space="preserve">Infra+tools/mo $</t>
  </si>
  <si>
    <t xml:space="preserve">Total OpEx/mo $</t>
  </si>
  <si>
    <t xml:space="preserve">Total OpEx/mo ₹</t>
  </si>
  <si>
    <t xml:space="preserve">Now (solo, pre-revenue)</t>
  </si>
  <si>
    <t xml:space="preserve">Small team (founder + 2)</t>
  </si>
  <si>
    <t xml:space="preserve">Growth team (5 people)</t>
  </si>
  <si>
    <t xml:space="preserve">PROFIT AT 10,000 SIGNUPS, THREE TEAM SIZES</t>
  </si>
  <si>
    <t xml:space="preserve">Corporate tax rate</t>
  </si>
  <si>
    <t xml:space="preserve">EST · ~25% India / 21% US on profit</t>
  </si>
  <si>
    <t xml:space="preserve">Lean (solo)</t>
  </si>
  <si>
    <t xml:space="preserve">Small team</t>
  </si>
  <si>
    <t xml:space="preserve">Growth team</t>
  </si>
  <si>
    <t xml:space="preserve">Revenue / mo</t>
  </si>
  <si>
    <t xml:space="preserve">Gross profit / mo</t>
  </si>
  <si>
    <t xml:space="preserve">Team + fixed OpEx / mo</t>
  </si>
  <si>
    <t xml:space="preserve">Operating profit / mo</t>
  </si>
  <si>
    <t xml:space="preserve">Corporate tax</t>
  </si>
  <si>
    <t xml:space="preserve">NET PROFIT / mo</t>
  </si>
  <si>
    <t xml:space="preserve">NET PROFIT / mo ₹</t>
  </si>
  <si>
    <t xml:space="preserve">The honest read: run lean and it is very profitable and pays tax. Hire a full team to grow faster and you run a planned loss (investing in growth), which is a choice, not a failure. Both are normal. The '$9,692 profit' shown elsewhere is the lean case.</t>
  </si>
  <si>
    <t xml:space="preserve">RUNWAY &amp; BURN</t>
  </si>
  <si>
    <t xml:space="preserve">At $0 founder draw the burn is tiny · this is a 'land B2B accounts' problem, not a cash-cliff problem.</t>
  </si>
  <si>
    <t xml:space="preserve">MONTHLY BURN COMPONENTS</t>
  </si>
  <si>
    <t xml:space="preserve">Component</t>
  </si>
  <si>
    <t xml:space="preserve">Infra (Supabase+Fly+domain)</t>
  </si>
  <si>
    <t xml:space="preserve">Tools / monitoring / analytics</t>
  </si>
  <si>
    <t xml:space="preserve">TOTAL MONTHLY BURN</t>
  </si>
  <si>
    <t xml:space="preserve">Current MRR</t>
  </si>
  <si>
    <t xml:space="preserve">RUNWAY (months) = cash ÷ (burn − MRR)</t>
  </si>
  <si>
    <t xml:space="preserve">Burn/mo</t>
  </si>
  <si>
    <t xml:space="preserve">$10k cash</t>
  </si>
  <si>
    <t xml:space="preserve">$25k cash</t>
  </si>
  <si>
    <t xml:space="preserve">$50k cash</t>
  </si>
  <si>
    <t xml:space="preserve">DEFAULT-ALIVE  ·  MRR needed to break even</t>
  </si>
  <si>
    <t xml:space="preserve">Break-even MRR</t>
  </si>
  <si>
    <t xml:space="preserve">≈ US Pro subs</t>
  </si>
  <si>
    <t xml:space="preserve">≈ B2B 10-seat accts</t>
  </si>
  <si>
    <t xml:space="preserve">CAC / LTV  by region &amp; motion</t>
  </si>
  <si>
    <t xml:space="preserve">LTV = ARPU × margin ÷ churn. Green rows are healthy (≥3:1); red are underwater.</t>
  </si>
  <si>
    <t xml:space="preserve">Segment / motion</t>
  </si>
  <si>
    <t xml:space="preserve">ARPU/mo</t>
  </si>
  <si>
    <t xml:space="preserve">GM %</t>
  </si>
  <si>
    <t xml:space="preserve">Churn/mo</t>
  </si>
  <si>
    <t xml:space="preserve">LTV</t>
  </si>
  <si>
    <t xml:space="preserve">CAC</t>
  </si>
  <si>
    <t xml:space="preserve">LTV:CAC</t>
  </si>
  <si>
    <t xml:space="preserve">Payback (mo)</t>
  </si>
  <si>
    <t xml:space="preserve">B2C US · organic</t>
  </si>
  <si>
    <t xml:space="preserve">B2C US · paid</t>
  </si>
  <si>
    <t xml:space="preserve">B2C UK · organic</t>
  </si>
  <si>
    <t xml:space="preserve">B2C India · organic</t>
  </si>
  <si>
    <t xml:space="preserve">B2C India · paid</t>
  </si>
  <si>
    <t xml:space="preserve">B2B account · self-serve</t>
  </si>
  <si>
    <t xml:space="preserve">B2B account · SMB sales (15-seat)</t>
  </si>
  <si>
    <t xml:space="preserve">Partnership-led CAC (from co-marketing analysis)</t>
  </si>
  <si>
    <t xml:space="preserve">B2C paying via partnerships</t>
  </si>
  <si>
    <t xml:space="preserve">~$40</t>
  </si>
  <si>
    <t xml:space="preserve">B2B account via partnerships</t>
  </si>
  <si>
    <t xml:space="preserve">~$80</t>
  </si>
  <si>
    <t xml:space="preserve">vs paid ads (B2C / B2B)</t>
  </si>
  <si>
    <t xml:space="preserve">$150-400 / $300-800</t>
  </si>
  <si>
    <t xml:space="preserve">BREAK-EVEN  ·  units to cover fixed costs</t>
  </si>
  <si>
    <t xml:space="preserve">One healthy B2B account covers the whole base burn. That is the punchline.</t>
  </si>
  <si>
    <t xml:space="preserve">Fixed-cost target</t>
  </si>
  <si>
    <t xml:space="preserve">US B2C Pro users</t>
  </si>
  <si>
    <t xml:space="preserve">OR B2B 10-seat accounts</t>
  </si>
  <si>
    <t xml:space="preserve">Base fixed ($170/mo, draw $0)</t>
  </si>
  <si>
    <t xml:space="preserve">+ $3,000 founder draw</t>
  </si>
  <si>
    <t xml:space="preserve">+ $5,000 founder draw</t>
  </si>
  <si>
    <t xml:space="preserve">Per-unit gross profit used:</t>
  </si>
  <si>
    <t xml:space="preserve">  US B2C Pro contribution / mo</t>
  </si>
  <si>
    <t xml:space="preserve">  B2B 10-seat account GP / mo</t>
  </si>
  <si>
    <t xml:space="preserve">INR VIEW  ·  every headline number in $ and ₹</t>
  </si>
  <si>
    <t xml:space="preserve">₹ = $ × FX (86, editable in Assumptions). India list prices (₹699 / ₹999) are set locally, not FX-converted from the US price.</t>
  </si>
  <si>
    <t xml:space="preserve">INR (₹)</t>
  </si>
  <si>
    <t xml:space="preserve">Cost to serve, paid user (loaded)</t>
  </si>
  <si>
    <t xml:space="preserve">   of which is AI</t>
  </si>
  <si>
    <t xml:space="preserve">US Pro, you keep after fees</t>
  </si>
  <si>
    <t xml:space="preserve">US Pro, profit per user</t>
  </si>
  <si>
    <t xml:space="preserve">UK Pro, you keep after VAT + fees</t>
  </si>
  <si>
    <t xml:space="preserve">India Pro, you keep after GST + fees</t>
  </si>
  <si>
    <t xml:space="preserve">India Pro, profit per user</t>
  </si>
  <si>
    <t xml:space="preserve">B2B 10-seat account, monthly</t>
  </si>
  <si>
    <t xml:space="preserve">B2B 10-seat account, lifetime value</t>
  </si>
  <si>
    <t xml:space="preserve">B2B 50-seat account, lifetime value</t>
  </si>
  <si>
    <t xml:space="preserve">P&amp;L 1,000 signups, monthly profit</t>
  </si>
  <si>
    <t xml:space="preserve">P&amp;L 10,000 signups, annual revenue</t>
  </si>
  <si>
    <t xml:space="preserve">P&amp;L 10,000 signups, monthly profit</t>
  </si>
  <si>
    <t xml:space="preserve">Monthly burn ($0 salary)</t>
  </si>
  <si>
    <t xml:space="preserve">Default-alive MRR ($0 salary)</t>
  </si>
</sst>
</file>

<file path=xl/styles.xml><?xml version="1.0" encoding="utf-8"?>
<styleSheet xmlns="http://schemas.openxmlformats.org/spreadsheetml/2006/main">
  <numFmts count="14">
    <numFmt numFmtId="164" formatCode="General"/>
    <numFmt numFmtId="165" formatCode="\$0.0000"/>
    <numFmt numFmtId="166" formatCode="#,##0"/>
    <numFmt numFmtId="167" formatCode="0.0%"/>
    <numFmt numFmtId="168" formatCode="\$0.000000"/>
    <numFmt numFmtId="169" formatCode="\$#,##0.00"/>
    <numFmt numFmtId="170" formatCode="\£#,##0.00"/>
    <numFmt numFmtId="171" formatCode="\$#,##0"/>
    <numFmt numFmtId="172" formatCode="\₹#,##0.00"/>
    <numFmt numFmtId="173" formatCode="\₹#,##0"/>
    <numFmt numFmtId="174" formatCode="#,##0.0"/>
    <numFmt numFmtId="175" formatCode="\$#,##0;&quot;($&quot;#,##0\)"/>
    <numFmt numFmtId="176" formatCode="0.0\x"/>
    <numFmt numFmtId="177" formatCode="\₹#,##0;&quot;(₹&quot;#,##0\)"/>
  </numFmts>
  <fonts count="32">
    <font>
      <sz val="11"/>
      <color theme="1"/>
      <name val="Calibri"/>
      <family val="2"/>
      <charset val="1"/>
    </font>
    <font>
      <sz val="10"/>
      <name val="Arial"/>
      <family val="0"/>
    </font>
    <font>
      <sz val="10"/>
      <name val="Arial"/>
      <family val="0"/>
    </font>
    <font>
      <sz val="10"/>
      <name val="Arial"/>
      <family val="0"/>
    </font>
    <font>
      <b val="true"/>
      <sz val="15"/>
      <color rgb="FF0B6E4F"/>
      <name val="Arial"/>
      <family val="0"/>
      <charset val="1"/>
    </font>
    <font>
      <i val="true"/>
      <sz val="10"/>
      <color rgb="FF5A6B62"/>
      <name val="Arial"/>
      <family val="0"/>
      <charset val="1"/>
    </font>
    <font>
      <b val="true"/>
      <sz val="11"/>
      <color rgb="FF0B6E4F"/>
      <name val="Arial"/>
      <family val="0"/>
      <charset val="1"/>
    </font>
    <font>
      <sz val="10"/>
      <color rgb="FF1B1B1F"/>
      <name val="Arial"/>
      <family val="0"/>
      <charset val="1"/>
    </font>
    <font>
      <i val="true"/>
      <sz val="9"/>
      <color rgb="FF6B7770"/>
      <name val="Arial"/>
      <family val="0"/>
      <charset val="1"/>
    </font>
    <font>
      <b val="true"/>
      <sz val="9"/>
      <color rgb="FFFFFFFF"/>
      <name val="Arial"/>
      <family val="0"/>
      <charset val="1"/>
    </font>
    <font>
      <b val="true"/>
      <sz val="10"/>
      <color rgb="FF1B1B1F"/>
      <name val="Arial"/>
      <family val="0"/>
      <charset val="1"/>
    </font>
    <font>
      <b val="true"/>
      <sz val="9"/>
      <color rgb="FF1B1B1F"/>
      <name val="Arial"/>
      <family val="0"/>
      <charset val="1"/>
    </font>
    <font>
      <sz val="9"/>
      <color rgb="FF6B7770"/>
      <name val="Arial"/>
      <family val="0"/>
      <charset val="1"/>
    </font>
    <font>
      <b val="true"/>
      <sz val="9"/>
      <color rgb="FFC00000"/>
      <name val="Arial"/>
      <family val="0"/>
      <charset val="1"/>
    </font>
    <font>
      <b val="true"/>
      <sz val="9"/>
      <color rgb="FF9C6E27"/>
      <name val="Arial"/>
      <family val="0"/>
      <charset val="1"/>
    </font>
    <font>
      <b val="true"/>
      <sz val="9"/>
      <color rgb="FF0B6E4F"/>
      <name val="Arial"/>
      <family val="0"/>
      <charset val="1"/>
    </font>
    <font>
      <b val="true"/>
      <sz val="9"/>
      <color rgb="FF6B777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B6E4F"/>
      <name val="Arial"/>
      <family val="0"/>
      <charset val="1"/>
    </font>
    <font>
      <i val="true"/>
      <sz val="9"/>
      <color rgb="FF0B6E4F"/>
      <name val="Arial"/>
      <family val="0"/>
      <charset val="1"/>
    </font>
    <font>
      <sz val="10"/>
      <name val="Arial"/>
      <family val="2"/>
    </font>
    <font>
      <sz val="9"/>
      <color rgb="FF9AA79F"/>
      <name val="Arial"/>
      <family val="0"/>
      <charset val="1"/>
    </font>
    <font>
      <b val="true"/>
      <sz val="11"/>
      <color rgb="FFC00000"/>
      <name val="Arial"/>
      <family val="0"/>
      <charset val="1"/>
    </font>
    <font>
      <b val="true"/>
      <sz val="10"/>
      <color rgb="FFC00000"/>
      <name val="Arial"/>
      <family val="0"/>
      <charset val="1"/>
    </font>
    <font>
      <i val="true"/>
      <sz val="9"/>
      <color rgb="FFC00000"/>
      <name val="Arial"/>
      <family val="0"/>
      <charset val="1"/>
    </font>
    <font>
      <i val="true"/>
      <sz val="10"/>
      <color rgb="FF0B6E4F"/>
      <name val="Arial"/>
      <family val="0"/>
      <charset val="1"/>
    </font>
    <font>
      <b val="true"/>
      <sz val="10"/>
      <color rgb="FF008000"/>
      <name val="Arial"/>
      <family val="0"/>
      <charset val="1"/>
    </font>
    <font>
      <b val="true"/>
      <sz val="10"/>
      <color rgb="FF0000FF"/>
      <name val="Arial"/>
      <family val="0"/>
      <charset val="1"/>
    </font>
    <font>
      <sz val="10"/>
      <color rgb="FF0B6E4F"/>
      <name val="Arial"/>
      <family val="0"/>
      <charset val="1"/>
    </font>
    <font>
      <sz val="10"/>
      <color rgb="FFC00000"/>
      <name val="Arial"/>
      <family val="0"/>
      <charset val="1"/>
    </font>
  </fonts>
  <fills count="11">
    <fill>
      <patternFill patternType="none"/>
    </fill>
    <fill>
      <patternFill patternType="gray125"/>
    </fill>
    <fill>
      <patternFill patternType="solid">
        <fgColor rgb="FF0B6E4F"/>
        <bgColor rgb="FF008080"/>
      </patternFill>
    </fill>
    <fill>
      <patternFill patternType="solid">
        <fgColor rgb="FF1B3A2E"/>
        <bgColor rgb="FF003300"/>
      </patternFill>
    </fill>
    <fill>
      <patternFill patternType="solid">
        <fgColor rgb="FFFFFDE7"/>
        <bgColor rgb="FFFFFFFF"/>
      </patternFill>
    </fill>
    <fill>
      <patternFill patternType="solid">
        <fgColor rgb="FFE3F0EA"/>
        <bgColor rgb="FFE4F0EA"/>
      </patternFill>
    </fill>
    <fill>
      <patternFill patternType="solid">
        <fgColor rgb="FFD8E8E0"/>
        <bgColor rgb="FFE3F0EA"/>
      </patternFill>
    </fill>
    <fill>
      <patternFill patternType="solid">
        <fgColor rgb="FFF6E1DB"/>
        <bgColor rgb="FFF7E0DE"/>
      </patternFill>
    </fill>
    <fill>
      <patternFill patternType="solid">
        <fgColor rgb="FFE4F0EA"/>
        <bgColor rgb="FFE3F0EA"/>
      </patternFill>
    </fill>
    <fill>
      <patternFill patternType="solid">
        <fgColor rgb="FFF7E0DE"/>
        <bgColor rgb="FFF6E1DB"/>
      </patternFill>
    </fill>
    <fill>
      <patternFill patternType="solid">
        <fgColor rgb="FFFBF3DA"/>
        <bgColor rgb="FFFFFDE7"/>
      </patternFill>
    </fill>
  </fills>
  <borders count="2">
    <border diagonalUp="false" diagonalDown="false">
      <left/>
      <right/>
      <top/>
      <bottom/>
      <diagonal/>
    </border>
    <border diagonalUp="false" diagonalDown="false">
      <left style="thin">
        <color rgb="FFD5DAD7"/>
      </left>
      <right style="thin">
        <color rgb="FFD5DAD7"/>
      </right>
      <top style="thin">
        <color rgb="FFD5DAD7"/>
      </top>
      <bottom style="thin">
        <color rgb="FFD5DAD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5" fontId="18"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18" fillId="4" borderId="0" xfId="0" applyFont="true" applyBorder="false" applyAlignment="false" applyProtection="false">
      <alignment horizontal="general" vertical="bottom" textRotation="0" wrapText="false" indent="0" shrinkToFit="false"/>
      <protection locked="true" hidden="false"/>
    </xf>
    <xf numFmtId="167" fontId="18" fillId="4"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8" fillId="4" borderId="0" xfId="0" applyFont="true" applyBorder="false" applyAlignment="false" applyProtection="false">
      <alignment horizontal="general" vertical="bottom" textRotation="0" wrapText="false" indent="0" shrinkToFit="false"/>
      <protection locked="true" hidden="false"/>
    </xf>
    <xf numFmtId="169" fontId="18" fillId="4" borderId="0" xfId="0" applyFont="true" applyBorder="false" applyAlignment="false" applyProtection="false">
      <alignment horizontal="general" vertical="bottom" textRotation="0" wrapText="false" indent="0" shrinkToFit="false"/>
      <protection locked="true" hidden="false"/>
    </xf>
    <xf numFmtId="170" fontId="18" fillId="4" borderId="0" xfId="0" applyFont="true" applyBorder="false" applyAlignment="false" applyProtection="false">
      <alignment horizontal="general" vertical="bottom" textRotation="0" wrapText="false" indent="0" shrinkToFit="false"/>
      <protection locked="true" hidden="false"/>
    </xf>
    <xf numFmtId="171" fontId="18" fillId="4" borderId="0" xfId="0" applyFont="true" applyBorder="false" applyAlignment="false" applyProtection="false">
      <alignment horizontal="general" vertical="bottom" textRotation="0" wrapText="false" indent="0" shrinkToFit="false"/>
      <protection locked="true" hidden="false"/>
    </xf>
    <xf numFmtId="169" fontId="19"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9" fontId="10" fillId="5"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9" fontId="10" fillId="6" borderId="0" xfId="0" applyFont="true" applyBorder="false" applyAlignment="false" applyProtection="false">
      <alignment horizontal="general" vertical="bottom" textRotation="0" wrapText="false" indent="0" shrinkToFit="false"/>
      <protection locked="true" hidden="false"/>
    </xf>
    <xf numFmtId="169" fontId="1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71" fontId="19"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1" fontId="17" fillId="3" borderId="0" xfId="0" applyFont="true" applyBorder="false" applyAlignment="false" applyProtection="false">
      <alignment horizontal="general" vertical="bottom" textRotation="0" wrapText="false" indent="0" shrinkToFit="false"/>
      <protection locked="true" hidden="false"/>
    </xf>
    <xf numFmtId="173" fontId="1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right" vertical="bottom" textRotation="0" wrapText="false" indent="0" shrinkToFit="false"/>
      <protection locked="true" hidden="false"/>
    </xf>
    <xf numFmtId="167" fontId="10" fillId="6"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6" fontId="7" fillId="7" borderId="0" xfId="0" applyFont="true" applyBorder="false" applyAlignment="false" applyProtection="false">
      <alignment horizontal="general" vertical="bottom" textRotation="0" wrapText="false" indent="0" shrinkToFit="false"/>
      <protection locked="true" hidden="false"/>
    </xf>
    <xf numFmtId="169" fontId="7" fillId="7" borderId="0" xfId="0" applyFont="true" applyBorder="false" applyAlignment="false" applyProtection="false">
      <alignment horizontal="general" vertical="bottom" textRotation="0" wrapText="false" indent="0" shrinkToFit="false"/>
      <protection locked="true" hidden="false"/>
    </xf>
    <xf numFmtId="173" fontId="7" fillId="7" borderId="0" xfId="0" applyFont="true" applyBorder="false" applyAlignment="false" applyProtection="false">
      <alignment horizontal="general" vertical="bottom" textRotation="0" wrapText="false" indent="0" shrinkToFit="false"/>
      <protection locked="true" hidden="false"/>
    </xf>
    <xf numFmtId="169" fontId="19" fillId="7" borderId="0" xfId="0" applyFont="true" applyBorder="false" applyAlignment="false" applyProtection="false">
      <alignment horizontal="general" vertical="bottom" textRotation="0" wrapText="false" indent="0" shrinkToFit="false"/>
      <protection locked="true" hidden="false"/>
    </xf>
    <xf numFmtId="167" fontId="25" fillId="7"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73" fontId="10" fillId="5" borderId="0" xfId="0" applyFont="true" applyBorder="false" applyAlignment="false" applyProtection="false">
      <alignment horizontal="general" vertical="bottom" textRotation="0" wrapText="false" indent="0" shrinkToFit="false"/>
      <protection locked="true" hidden="false"/>
    </xf>
    <xf numFmtId="173" fontId="18"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7" fontId="17" fillId="3"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6" fontId="18" fillId="8"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9" fontId="7" fillId="8" borderId="0" xfId="0" applyFont="true" applyBorder="false" applyAlignment="false" applyProtection="false">
      <alignment horizontal="general" vertical="bottom" textRotation="0" wrapText="false" indent="0" shrinkToFit="false"/>
      <protection locked="true" hidden="false"/>
    </xf>
    <xf numFmtId="169" fontId="18" fillId="8" borderId="0" xfId="0" applyFont="true" applyBorder="false" applyAlignment="false" applyProtection="false">
      <alignment horizontal="general" vertical="bottom" textRotation="0" wrapText="false" indent="0" shrinkToFit="false"/>
      <protection locked="true" hidden="false"/>
    </xf>
    <xf numFmtId="169" fontId="19" fillId="8" borderId="0" xfId="0" applyFont="true" applyBorder="false" applyAlignment="false" applyProtection="false">
      <alignment horizontal="general" vertical="bottom" textRotation="0" wrapText="false" indent="0" shrinkToFit="false"/>
      <protection locked="true" hidden="false"/>
    </xf>
    <xf numFmtId="167" fontId="10" fillId="8" borderId="0" xfId="0" applyFont="true" applyBorder="false" applyAlignment="false" applyProtection="false">
      <alignment horizontal="general" vertical="bottom" textRotation="0" wrapText="false" indent="0" shrinkToFit="false"/>
      <protection locked="true" hidden="false"/>
    </xf>
    <xf numFmtId="173" fontId="7" fillId="8"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6" fontId="18" fillId="7" borderId="0" xfId="0" applyFont="true" applyBorder="false" applyAlignment="false" applyProtection="false">
      <alignment horizontal="general" vertical="bottom" textRotation="0" wrapText="false" indent="0" shrinkToFit="false"/>
      <protection locked="true" hidden="false"/>
    </xf>
    <xf numFmtId="169" fontId="18" fillId="7" borderId="0" xfId="0" applyFont="true" applyBorder="false" applyAlignment="false" applyProtection="false">
      <alignment horizontal="general" vertical="bottom" textRotation="0" wrapText="false" indent="0" shrinkToFit="false"/>
      <protection locked="true" hidden="false"/>
    </xf>
    <xf numFmtId="171" fontId="10" fillId="5"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1" fontId="10" fillId="6"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1" fontId="7" fillId="8" borderId="0" xfId="0" applyFont="true" applyBorder="false" applyAlignment="false" applyProtection="false">
      <alignment horizontal="general" vertical="bottom" textRotation="0" wrapText="false" indent="0" shrinkToFit="false"/>
      <protection locked="true" hidden="false"/>
    </xf>
    <xf numFmtId="174" fontId="7" fillId="8" borderId="0" xfId="0" applyFont="true" applyBorder="false" applyAlignment="false" applyProtection="false">
      <alignment horizontal="general" vertical="bottom" textRotation="0" wrapText="false" indent="0" shrinkToFit="false"/>
      <protection locked="true" hidden="false"/>
    </xf>
    <xf numFmtId="171" fontId="10" fillId="8" borderId="0" xfId="0" applyFont="true" applyBorder="false" applyAlignment="false" applyProtection="false">
      <alignment horizontal="general" vertical="bottom" textRotation="0" wrapText="false" indent="0" shrinkToFit="false"/>
      <protection locked="true" hidden="false"/>
    </xf>
    <xf numFmtId="171" fontId="19" fillId="8"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75" fontId="17" fillId="3" borderId="0" xfId="0" applyFont="true" applyBorder="false" applyAlignment="false" applyProtection="false">
      <alignment horizontal="general" vertical="bottom" textRotation="0" wrapText="false" indent="0" shrinkToFit="false"/>
      <protection locked="true" hidden="false"/>
    </xf>
    <xf numFmtId="166" fontId="18" fillId="5" borderId="0" xfId="0" applyFont="true" applyBorder="false" applyAlignment="false" applyProtection="false">
      <alignment horizontal="general" vertical="bottom" textRotation="0" wrapText="false" indent="0" shrinkToFit="false"/>
      <protection locked="true" hidden="false"/>
    </xf>
    <xf numFmtId="166" fontId="7" fillId="5" borderId="0" xfId="0" applyFont="true" applyBorder="false" applyAlignment="false" applyProtection="false">
      <alignment horizontal="general" vertical="bottom" textRotation="0" wrapText="false" indent="0" shrinkToFit="false"/>
      <protection locked="true" hidden="false"/>
    </xf>
    <xf numFmtId="171" fontId="19" fillId="5" borderId="0" xfId="0" applyFont="true" applyBorder="false" applyAlignment="false" applyProtection="false">
      <alignment horizontal="general" vertical="bottom" textRotation="0" wrapText="false" indent="0" shrinkToFit="false"/>
      <protection locked="true" hidden="false"/>
    </xf>
    <xf numFmtId="171" fontId="7" fillId="5" borderId="0" xfId="0" applyFont="true" applyBorder="false" applyAlignment="false" applyProtection="false">
      <alignment horizontal="general" vertical="bottom" textRotation="0" wrapText="false" indent="0" shrinkToFit="false"/>
      <protection locked="true" hidden="false"/>
    </xf>
    <xf numFmtId="173" fontId="7" fillId="5" borderId="0" xfId="0" applyFont="true" applyBorder="false" applyAlignment="false" applyProtection="false">
      <alignment horizontal="general" vertical="bottom" textRotation="0" wrapText="false" indent="0" shrinkToFit="false"/>
      <protection locked="true" hidden="false"/>
    </xf>
    <xf numFmtId="176" fontId="18" fillId="4"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7" fontId="28" fillId="0" borderId="0" xfId="0" applyFont="true" applyBorder="false" applyAlignment="false" applyProtection="false">
      <alignment horizontal="general" vertical="bottom" textRotation="0" wrapText="false" indent="0" shrinkToFit="false"/>
      <protection locked="true" hidden="false"/>
    </xf>
    <xf numFmtId="167" fontId="29" fillId="4" borderId="0" xfId="0" applyFont="true" applyBorder="false" applyAlignment="false" applyProtection="false">
      <alignment horizontal="general" vertical="bottom" textRotation="0" wrapText="false" indent="0" shrinkToFit="false"/>
      <protection locked="true" hidden="false"/>
    </xf>
    <xf numFmtId="176" fontId="28" fillId="0" borderId="0" xfId="0" applyFont="true" applyBorder="false" applyAlignment="false" applyProtection="false">
      <alignment horizontal="general" vertical="bottom" textRotation="0" wrapText="false" indent="0" shrinkToFit="false"/>
      <protection locked="true" hidden="false"/>
    </xf>
    <xf numFmtId="174" fontId="2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75" fontId="10" fillId="6" borderId="0" xfId="0" applyFont="true" applyBorder="false" applyAlignment="false" applyProtection="false">
      <alignment horizontal="general" vertical="bottom" textRotation="0" wrapText="false" indent="0" shrinkToFit="false"/>
      <protection locked="true" hidden="false"/>
    </xf>
    <xf numFmtId="177" fontId="10" fillId="0" borderId="0" xfId="0" applyFont="true" applyBorder="false" applyAlignment="false" applyProtection="false">
      <alignment horizontal="general" vertical="bottom" textRotation="0" wrapText="false" indent="0" shrinkToFit="false"/>
      <protection locked="true" hidden="false"/>
    </xf>
    <xf numFmtId="174" fontId="19" fillId="0"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9" fontId="18" fillId="5" borderId="0" xfId="0" applyFont="true" applyBorder="false" applyAlignment="false" applyProtection="false">
      <alignment horizontal="general" vertical="bottom" textRotation="0" wrapText="false" indent="0" shrinkToFit="false"/>
      <protection locked="true" hidden="false"/>
    </xf>
    <xf numFmtId="167" fontId="18" fillId="5" borderId="0" xfId="0" applyFont="true" applyBorder="false" applyAlignment="false" applyProtection="false">
      <alignment horizontal="general" vertical="bottom" textRotation="0" wrapText="false" indent="0" shrinkToFit="false"/>
      <protection locked="true" hidden="false"/>
    </xf>
    <xf numFmtId="171" fontId="18" fillId="5" borderId="0" xfId="0" applyFont="true" applyBorder="false" applyAlignment="false" applyProtection="false">
      <alignment horizontal="general" vertical="bottom" textRotation="0" wrapText="false" indent="0" shrinkToFit="false"/>
      <protection locked="true" hidden="false"/>
    </xf>
    <xf numFmtId="176" fontId="7" fillId="5" borderId="0" xfId="0" applyFont="true" applyBorder="false" applyAlignment="false" applyProtection="false">
      <alignment horizontal="general" vertical="bottom" textRotation="0" wrapText="false" indent="0" shrinkToFit="false"/>
      <protection locked="true" hidden="false"/>
    </xf>
    <xf numFmtId="174" fontId="7" fillId="5"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9" fontId="18" fillId="9" borderId="0" xfId="0" applyFont="true" applyBorder="false" applyAlignment="false" applyProtection="false">
      <alignment horizontal="general" vertical="bottom" textRotation="0" wrapText="false" indent="0" shrinkToFit="false"/>
      <protection locked="true" hidden="false"/>
    </xf>
    <xf numFmtId="167" fontId="18" fillId="9" borderId="0" xfId="0" applyFont="true" applyBorder="false" applyAlignment="false" applyProtection="false">
      <alignment horizontal="general" vertical="bottom" textRotation="0" wrapText="false" indent="0" shrinkToFit="false"/>
      <protection locked="true" hidden="false"/>
    </xf>
    <xf numFmtId="171" fontId="7" fillId="9" borderId="0" xfId="0" applyFont="true" applyBorder="false" applyAlignment="false" applyProtection="false">
      <alignment horizontal="general" vertical="bottom" textRotation="0" wrapText="false" indent="0" shrinkToFit="false"/>
      <protection locked="true" hidden="false"/>
    </xf>
    <xf numFmtId="171" fontId="18" fillId="9" borderId="0" xfId="0" applyFont="true" applyBorder="false" applyAlignment="false" applyProtection="false">
      <alignment horizontal="general" vertical="bottom" textRotation="0" wrapText="false" indent="0" shrinkToFit="false"/>
      <protection locked="true" hidden="false"/>
    </xf>
    <xf numFmtId="176" fontId="7" fillId="9" borderId="0" xfId="0" applyFont="true" applyBorder="false" applyAlignment="false" applyProtection="false">
      <alignment horizontal="general" vertical="bottom" textRotation="0" wrapText="false" indent="0" shrinkToFit="false"/>
      <protection locked="true" hidden="false"/>
    </xf>
    <xf numFmtId="174" fontId="7" fillId="9"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9" fontId="18" fillId="10" borderId="0" xfId="0" applyFont="true" applyBorder="false" applyAlignment="false" applyProtection="false">
      <alignment horizontal="general" vertical="bottom" textRotation="0" wrapText="false" indent="0" shrinkToFit="false"/>
      <protection locked="true" hidden="false"/>
    </xf>
    <xf numFmtId="167" fontId="18" fillId="10" borderId="0" xfId="0" applyFont="true" applyBorder="false" applyAlignment="false" applyProtection="false">
      <alignment horizontal="general" vertical="bottom" textRotation="0" wrapText="false" indent="0" shrinkToFit="false"/>
      <protection locked="true" hidden="false"/>
    </xf>
    <xf numFmtId="171" fontId="7" fillId="10" borderId="0" xfId="0" applyFont="true" applyBorder="false" applyAlignment="false" applyProtection="false">
      <alignment horizontal="general" vertical="bottom" textRotation="0" wrapText="false" indent="0" shrinkToFit="false"/>
      <protection locked="true" hidden="false"/>
    </xf>
    <xf numFmtId="171" fontId="18" fillId="10" borderId="0" xfId="0" applyFont="true" applyBorder="false" applyAlignment="false" applyProtection="false">
      <alignment horizontal="general" vertical="bottom" textRotation="0" wrapText="false" indent="0" shrinkToFit="false"/>
      <protection locked="true" hidden="false"/>
    </xf>
    <xf numFmtId="176" fontId="7" fillId="10" borderId="0" xfId="0" applyFont="true" applyBorder="false" applyAlignment="false" applyProtection="false">
      <alignment horizontal="general" vertical="bottom" textRotation="0" wrapText="false" indent="0" shrinkToFit="false"/>
      <protection locked="true" hidden="false"/>
    </xf>
    <xf numFmtId="174" fontId="7" fillId="1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left"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9C6E27"/>
      <rgbColor rgb="FF800080"/>
      <rgbColor rgb="FF0B6E4F"/>
      <rgbColor rgb="FFF7E0DE"/>
      <rgbColor rgb="FF6B7770"/>
      <rgbColor rgb="FF9999FF"/>
      <rgbColor rgb="FF993366"/>
      <rgbColor rgb="FFFFFDE7"/>
      <rgbColor rgb="FFE3F0EA"/>
      <rgbColor rgb="FF660066"/>
      <rgbColor rgb="FFFF8080"/>
      <rgbColor rgb="FF0066CC"/>
      <rgbColor rgb="FFD5DAD7"/>
      <rgbColor rgb="FF000080"/>
      <rgbColor rgb="FFFF00FF"/>
      <rgbColor rgb="FFFFFF00"/>
      <rgbColor rgb="FF00FFFF"/>
      <rgbColor rgb="FF800080"/>
      <rgbColor rgb="FF800000"/>
      <rgbColor rgb="FF008080"/>
      <rgbColor rgb="FF0000FF"/>
      <rgbColor rgb="FF00CCFF"/>
      <rgbColor rgb="FFE4F0EA"/>
      <rgbColor rgb="FFD8E8E0"/>
      <rgbColor rgb="FFFBF3DA"/>
      <rgbColor rgb="FF99CCFF"/>
      <rgbColor rgb="FFFF99CC"/>
      <rgbColor rgb="FFCC99FF"/>
      <rgbColor rgb="FFF6E1DB"/>
      <rgbColor rgb="FF3366FF"/>
      <rgbColor rgb="FF33CCCC"/>
      <rgbColor rgb="FF99CC00"/>
      <rgbColor rgb="FFFFCC00"/>
      <rgbColor rgb="FFFF9900"/>
      <rgbColor rgb="FFFF6600"/>
      <rgbColor rgb="FF5A6B62"/>
      <rgbColor rgb="FF9AA79F"/>
      <rgbColor rgb="FF003366"/>
      <rgbColor rgb="FF339966"/>
      <rgbColor rgb="FF003300"/>
      <rgbColor rgb="FF1B1B1F"/>
      <rgbColor rgb="FF993300"/>
      <rgbColor rgb="FF993366"/>
      <rgbColor rgb="FF333399"/>
      <rgbColor rgb="FF1B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96"/>
  </cols>
  <sheetData>
    <row r="2" customFormat="false" ht="18.5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t="s">
        <v>6</v>
      </c>
    </row>
    <row r="11" customFormat="false" ht="15" hidden="false" customHeight="false" outlineLevel="0" collapsed="false">
      <c r="B11" s="3" t="s">
        <v>7</v>
      </c>
    </row>
    <row r="12" customFormat="false" ht="15" hidden="false" customHeight="false" outlineLevel="0" collapsed="false">
      <c r="B12" s="4" t="s">
        <v>8</v>
      </c>
    </row>
    <row r="13" customFormat="false" ht="1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8" customFormat="false" ht="15" hidden="false" customHeight="false" outlineLevel="0" collapsed="false">
      <c r="B18" s="3" t="s">
        <v>13</v>
      </c>
    </row>
    <row r="19" customFormat="false" ht="15" hidden="false" customHeight="false" outlineLevel="0" collapsed="false">
      <c r="B19" s="4" t="s">
        <v>14</v>
      </c>
    </row>
    <row r="20" customFormat="false" ht="15" hidden="false" customHeight="false" outlineLevel="0" collapsed="false">
      <c r="B20" s="4" t="s">
        <v>15</v>
      </c>
    </row>
    <row r="21" customFormat="false" ht="15" hidden="false" customHeight="false" outlineLevel="0" collapsed="false">
      <c r="B21" s="4" t="s">
        <v>16</v>
      </c>
    </row>
    <row r="23" customFormat="false" ht="15" hidden="false" customHeight="false" outlineLevel="0" collapsed="false">
      <c r="B23"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4"/>
  </cols>
  <sheetData>
    <row r="2" customFormat="false" ht="18.55" hidden="false" customHeight="false" outlineLevel="0" collapsed="false">
      <c r="B2" s="1" t="s">
        <v>18</v>
      </c>
    </row>
    <row r="3" customFormat="false" ht="15" hidden="false" customHeight="false" outlineLevel="0" collapsed="false">
      <c r="B3" s="2" t="s">
        <v>19</v>
      </c>
    </row>
    <row r="5" customFormat="false" ht="15" hidden="false" customHeight="false" outlineLevel="0" collapsed="false">
      <c r="B5" s="3" t="s">
        <v>20</v>
      </c>
    </row>
    <row r="6" customFormat="false" ht="15" hidden="false" customHeight="false" outlineLevel="0" collapsed="false">
      <c r="B6" s="4" t="s">
        <v>21</v>
      </c>
    </row>
    <row r="7" customFormat="false" ht="15" hidden="false" customHeight="false" outlineLevel="0" collapsed="false">
      <c r="B7" s="4" t="s">
        <v>22</v>
      </c>
    </row>
    <row r="8" customFormat="false" ht="15" hidden="false" customHeight="false" outlineLevel="0" collapsed="false">
      <c r="B8" s="4" t="s">
        <v>23</v>
      </c>
    </row>
    <row r="9" customFormat="false" ht="15" hidden="false" customHeight="false" outlineLevel="0" collapsed="false">
      <c r="B9" s="4" t="s">
        <v>24</v>
      </c>
    </row>
    <row r="10" customFormat="false" ht="15" hidden="false" customHeight="false" outlineLevel="0" collapsed="false">
      <c r="B10" s="4" t="s">
        <v>25</v>
      </c>
    </row>
    <row r="11" customFormat="false" ht="15" hidden="false" customHeight="false" outlineLevel="0" collapsed="false">
      <c r="B11" s="4"/>
    </row>
    <row r="12" customFormat="false" ht="15" hidden="false" customHeight="false" outlineLevel="0" collapsed="false">
      <c r="B12" s="3" t="s">
        <v>26</v>
      </c>
    </row>
    <row r="13" customFormat="false" ht="15" hidden="false" customHeight="false" outlineLevel="0" collapsed="false">
      <c r="B13" s="4" t="s">
        <v>27</v>
      </c>
    </row>
    <row r="14" customFormat="false" ht="15" hidden="false" customHeight="false" outlineLevel="0" collapsed="false">
      <c r="B14" s="4" t="s">
        <v>28</v>
      </c>
    </row>
    <row r="15" customFormat="false" ht="15" hidden="false" customHeight="false" outlineLevel="0" collapsed="false">
      <c r="B15" s="4" t="s">
        <v>29</v>
      </c>
    </row>
    <row r="16" customFormat="false" ht="15" hidden="false" customHeight="false" outlineLevel="0" collapsed="false">
      <c r="B16" s="4" t="s">
        <v>30</v>
      </c>
    </row>
    <row r="17" customFormat="false" ht="15" hidden="false" customHeight="false" outlineLevel="0" collapsed="false">
      <c r="B17" s="4" t="s">
        <v>31</v>
      </c>
    </row>
    <row r="18" customFormat="false" ht="15" hidden="false" customHeight="false" outlineLevel="0" collapsed="false">
      <c r="B18" s="4"/>
    </row>
    <row r="19" customFormat="false" ht="15" hidden="false" customHeight="false" outlineLevel="0" collapsed="false">
      <c r="B19" s="3" t="s">
        <v>32</v>
      </c>
    </row>
    <row r="20" customFormat="false" ht="15" hidden="false" customHeight="false" outlineLevel="0" collapsed="false">
      <c r="B20" s="4" t="s">
        <v>33</v>
      </c>
    </row>
    <row r="21" customFormat="false" ht="15" hidden="false" customHeight="false" outlineLevel="0" collapsed="false">
      <c r="B21" s="4" t="s">
        <v>34</v>
      </c>
    </row>
    <row r="22" customFormat="false" ht="15" hidden="false" customHeight="false" outlineLevel="0" collapsed="false">
      <c r="B22" s="4" t="s">
        <v>35</v>
      </c>
    </row>
    <row r="23" customFormat="false" ht="15" hidden="false" customHeight="false" outlineLevel="0" collapsed="false">
      <c r="B23" s="4"/>
    </row>
    <row r="24" customFormat="false" ht="15" hidden="false" customHeight="false" outlineLevel="0" collapsed="false">
      <c r="B24" s="3" t="s">
        <v>36</v>
      </c>
    </row>
    <row r="25" customFormat="false" ht="15" hidden="false" customHeight="false" outlineLevel="0" collapsed="false">
      <c r="B25" s="4" t="s">
        <v>37</v>
      </c>
    </row>
    <row r="26" customFormat="false" ht="15" hidden="false" customHeight="false" outlineLevel="0" collapsed="false">
      <c r="B26" s="4" t="s">
        <v>38</v>
      </c>
    </row>
    <row r="27" customFormat="false" ht="15" hidden="false" customHeight="false" outlineLevel="0" collapsed="false">
      <c r="B27" s="4" t="s">
        <v>39</v>
      </c>
    </row>
    <row r="28" customFormat="false" ht="15" hidden="false" customHeight="false" outlineLevel="0" collapsed="false">
      <c r="B28" s="4"/>
    </row>
    <row r="29" customFormat="false" ht="15" hidden="false" customHeight="false" outlineLevel="0" collapsed="false">
      <c r="B29" s="3" t="s">
        <v>40</v>
      </c>
    </row>
    <row r="30" customFormat="false" ht="23.85" hidden="false" customHeight="false" outlineLevel="0" collapsed="false">
      <c r="B30" s="4" t="s">
        <v>41</v>
      </c>
    </row>
    <row r="31" customFormat="false" ht="15" hidden="false" customHeight="false" outlineLevel="0" collapsed="false">
      <c r="B31" s="4" t="s">
        <v>42</v>
      </c>
    </row>
    <row r="32" customFormat="false" ht="15" hidden="false" customHeight="false" outlineLevel="0" collapsed="false">
      <c r="B32" s="4" t="s">
        <v>43</v>
      </c>
    </row>
    <row r="33" customFormat="false" ht="15" hidden="false" customHeight="false" outlineLevel="0" collapsed="false">
      <c r="B33" s="4"/>
    </row>
    <row r="34" customFormat="false" ht="15" hidden="false" customHeight="false" outlineLevel="0" collapsed="false">
      <c r="B34" s="5"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72"/>
    <col collapsed="false" customWidth="true" hidden="false" outlineLevel="0" max="3" min="3" style="0" width="15"/>
    <col collapsed="false" customWidth="true" hidden="false" outlineLevel="0" max="4" min="4" style="0" width="44"/>
  </cols>
  <sheetData>
    <row r="1" customFormat="false" ht="18.55"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6" t="s">
        <v>47</v>
      </c>
      <c r="B4" s="6" t="s">
        <v>48</v>
      </c>
      <c r="C4" s="6" t="s">
        <v>49</v>
      </c>
      <c r="D4" s="6" t="s">
        <v>50</v>
      </c>
    </row>
    <row r="5" customFormat="false" ht="42" hidden="false" customHeight="true" outlineLevel="0" collapsed="false">
      <c r="A5" s="7" t="s">
        <v>51</v>
      </c>
      <c r="B5" s="4" t="s">
        <v>52</v>
      </c>
      <c r="C5" s="8" t="s">
        <v>53</v>
      </c>
      <c r="D5" s="9" t="s">
        <v>54</v>
      </c>
    </row>
    <row r="6" customFormat="false" ht="42" hidden="false" customHeight="true" outlineLevel="0" collapsed="false">
      <c r="A6" s="7" t="s">
        <v>55</v>
      </c>
      <c r="B6" s="4" t="s">
        <v>56</v>
      </c>
      <c r="C6" s="8" t="s">
        <v>53</v>
      </c>
      <c r="D6" s="9" t="s">
        <v>57</v>
      </c>
    </row>
    <row r="7" customFormat="false" ht="42" hidden="false" customHeight="true" outlineLevel="0" collapsed="false">
      <c r="A7" s="7" t="s">
        <v>58</v>
      </c>
      <c r="B7" s="4" t="s">
        <v>59</v>
      </c>
      <c r="C7" s="8" t="s">
        <v>60</v>
      </c>
      <c r="D7" s="9" t="s">
        <v>61</v>
      </c>
    </row>
    <row r="8" customFormat="false" ht="42" hidden="false" customHeight="true" outlineLevel="0" collapsed="false">
      <c r="A8" s="7" t="s">
        <v>62</v>
      </c>
      <c r="B8" s="4" t="s">
        <v>63</v>
      </c>
      <c r="C8" s="8" t="s">
        <v>53</v>
      </c>
      <c r="D8" s="9" t="s">
        <v>64</v>
      </c>
    </row>
    <row r="9" customFormat="false" ht="42" hidden="false" customHeight="true" outlineLevel="0" collapsed="false">
      <c r="A9" s="7" t="s">
        <v>65</v>
      </c>
      <c r="B9" s="4" t="s">
        <v>66</v>
      </c>
      <c r="C9" s="8" t="s">
        <v>53</v>
      </c>
      <c r="D9" s="9" t="s">
        <v>67</v>
      </c>
    </row>
    <row r="10" customFormat="false" ht="42" hidden="false" customHeight="true" outlineLevel="0" collapsed="false">
      <c r="A10" s="7" t="s">
        <v>68</v>
      </c>
      <c r="B10" s="4" t="s">
        <v>69</v>
      </c>
      <c r="C10" s="8" t="s">
        <v>53</v>
      </c>
      <c r="D10" s="9" t="s">
        <v>70</v>
      </c>
    </row>
    <row r="11" customFormat="false" ht="42" hidden="false" customHeight="true" outlineLevel="0" collapsed="false">
      <c r="A11" s="7" t="s">
        <v>71</v>
      </c>
      <c r="B11" s="4" t="s">
        <v>72</v>
      </c>
      <c r="C11" s="8" t="s">
        <v>53</v>
      </c>
      <c r="D11" s="9" t="s">
        <v>73</v>
      </c>
    </row>
    <row r="12" customFormat="false" ht="42" hidden="false" customHeight="true" outlineLevel="0" collapsed="false">
      <c r="A12" s="7" t="s">
        <v>74</v>
      </c>
      <c r="B12" s="4" t="s">
        <v>75</v>
      </c>
      <c r="C12" s="8" t="s">
        <v>53</v>
      </c>
      <c r="D12" s="9" t="s">
        <v>76</v>
      </c>
    </row>
    <row r="13" customFormat="false" ht="42" hidden="false" customHeight="true" outlineLevel="0" collapsed="false">
      <c r="A13" s="7" t="s">
        <v>77</v>
      </c>
      <c r="B13" s="4" t="s">
        <v>78</v>
      </c>
      <c r="C13" s="8" t="s">
        <v>53</v>
      </c>
      <c r="D13" s="9" t="s">
        <v>79</v>
      </c>
    </row>
    <row r="14" customFormat="false" ht="42" hidden="false" customHeight="true" outlineLevel="0" collapsed="false">
      <c r="A14" s="7" t="s">
        <v>80</v>
      </c>
      <c r="B14" s="4" t="s">
        <v>81</v>
      </c>
      <c r="C14" s="8" t="s">
        <v>53</v>
      </c>
      <c r="D14" s="9" t="s">
        <v>82</v>
      </c>
    </row>
    <row r="15" customFormat="false" ht="42" hidden="false" customHeight="true" outlineLevel="0" collapsed="false">
      <c r="A15" s="7" t="s">
        <v>83</v>
      </c>
      <c r="B15" s="4" t="s">
        <v>84</v>
      </c>
      <c r="C15" s="10" t="s">
        <v>85</v>
      </c>
      <c r="D15" s="9" t="s">
        <v>86</v>
      </c>
    </row>
    <row r="16" customFormat="false" ht="42" hidden="false" customHeight="true" outlineLevel="0" collapsed="false">
      <c r="A16" s="7" t="s">
        <v>87</v>
      </c>
      <c r="B16" s="4" t="s">
        <v>88</v>
      </c>
      <c r="C16" s="10" t="s">
        <v>85</v>
      </c>
      <c r="D16" s="9" t="s">
        <v>89</v>
      </c>
    </row>
    <row r="17" customFormat="false" ht="42" hidden="false" customHeight="true" outlineLevel="0" collapsed="false">
      <c r="A17" s="7" t="s">
        <v>90</v>
      </c>
      <c r="B17" s="4" t="s">
        <v>91</v>
      </c>
      <c r="C17" s="10" t="s">
        <v>85</v>
      </c>
      <c r="D17" s="9" t="s">
        <v>92</v>
      </c>
    </row>
    <row r="18" customFormat="false" ht="42" hidden="false" customHeight="true" outlineLevel="0" collapsed="false">
      <c r="A18" s="7" t="s">
        <v>93</v>
      </c>
      <c r="B18" s="4" t="s">
        <v>94</v>
      </c>
      <c r="C18" s="11" t="s">
        <v>95</v>
      </c>
      <c r="D18" s="9" t="s">
        <v>96</v>
      </c>
    </row>
    <row r="19" customFormat="false" ht="42" hidden="false" customHeight="true" outlineLevel="0" collapsed="false">
      <c r="A19" s="7" t="s">
        <v>97</v>
      </c>
      <c r="B19" s="4" t="s">
        <v>98</v>
      </c>
      <c r="C19" s="11" t="s">
        <v>95</v>
      </c>
      <c r="D19" s="9" t="s">
        <v>99</v>
      </c>
    </row>
    <row r="20" customFormat="false" ht="42" hidden="false" customHeight="true" outlineLevel="0" collapsed="false">
      <c r="A20" s="7" t="s">
        <v>100</v>
      </c>
      <c r="B20" s="4" t="s">
        <v>101</v>
      </c>
      <c r="C20" s="8" t="s">
        <v>102</v>
      </c>
      <c r="D20" s="9" t="s">
        <v>103</v>
      </c>
    </row>
    <row r="21" customFormat="false" ht="42" hidden="false" customHeight="true" outlineLevel="0" collapsed="false">
      <c r="A21" s="7" t="s">
        <v>104</v>
      </c>
      <c r="B21" s="4" t="s">
        <v>105</v>
      </c>
      <c r="C21" s="12" t="s">
        <v>106</v>
      </c>
      <c r="D21" s="9" t="s">
        <v>107</v>
      </c>
    </row>
    <row r="22" customFormat="false" ht="42" hidden="false" customHeight="true" outlineLevel="0" collapsed="false">
      <c r="A22" s="7" t="s">
        <v>108</v>
      </c>
      <c r="B22" s="4" t="s">
        <v>109</v>
      </c>
      <c r="C22" s="12" t="s">
        <v>106</v>
      </c>
      <c r="D22" s="9" t="s">
        <v>110</v>
      </c>
    </row>
    <row r="23" customFormat="false" ht="42" hidden="false" customHeight="true" outlineLevel="0" collapsed="false">
      <c r="A23" s="7" t="s">
        <v>111</v>
      </c>
      <c r="B23" s="4" t="s">
        <v>112</v>
      </c>
      <c r="C23" s="12" t="s">
        <v>113</v>
      </c>
      <c r="D23" s="9" t="s">
        <v>114</v>
      </c>
    </row>
    <row r="24" customFormat="false" ht="42" hidden="false" customHeight="true" outlineLevel="0" collapsed="false">
      <c r="A24" s="7" t="s">
        <v>115</v>
      </c>
      <c r="B24" s="4" t="s">
        <v>116</v>
      </c>
      <c r="C24" s="10" t="s">
        <v>85</v>
      </c>
      <c r="D24" s="9" t="s">
        <v>117</v>
      </c>
    </row>
    <row r="25" customFormat="false" ht="42" hidden="false" customHeight="true" outlineLevel="0" collapsed="false">
      <c r="A25" s="7" t="s">
        <v>118</v>
      </c>
      <c r="B25" s="4" t="s">
        <v>119</v>
      </c>
      <c r="C25" s="11" t="s">
        <v>120</v>
      </c>
      <c r="D25" s="9" t="s">
        <v>121</v>
      </c>
    </row>
    <row r="26" customFormat="false" ht="42" hidden="false" customHeight="true" outlineLevel="0" collapsed="false">
      <c r="A26" s="7" t="s">
        <v>122</v>
      </c>
      <c r="B26" s="4" t="s">
        <v>123</v>
      </c>
      <c r="C26" s="13" t="s">
        <v>124</v>
      </c>
      <c r="D26" s="9"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30"/>
    <col collapsed="false" customWidth="true" hidden="false" outlineLevel="0" max="3" min="3" style="0" width="16"/>
    <col collapsed="false" customWidth="true" hidden="false" outlineLevel="0" max="4" min="4" style="0" width="44"/>
  </cols>
  <sheetData>
    <row r="1" customFormat="false" ht="18.55" hidden="false" customHeight="false" outlineLevel="0" collapsed="false">
      <c r="A1" s="1" t="s">
        <v>126</v>
      </c>
    </row>
    <row r="2" customFormat="false" ht="15" hidden="false" customHeight="false" outlineLevel="0" collapsed="false">
      <c r="A2" s="2" t="s">
        <v>127</v>
      </c>
    </row>
    <row r="4" customFormat="false" ht="15" hidden="false" customHeight="false" outlineLevel="0" collapsed="false">
      <c r="A4" s="6" t="s">
        <v>128</v>
      </c>
      <c r="B4" s="6" t="s">
        <v>129</v>
      </c>
      <c r="C4" s="6" t="s">
        <v>130</v>
      </c>
      <c r="D4" s="6" t="s">
        <v>131</v>
      </c>
    </row>
    <row r="5" customFormat="false" ht="31.5" hidden="false" customHeight="true" outlineLevel="0" collapsed="false">
      <c r="A5" s="7" t="s">
        <v>132</v>
      </c>
      <c r="B5" s="4" t="s">
        <v>133</v>
      </c>
      <c r="C5" s="14" t="s">
        <v>134</v>
      </c>
      <c r="D5" s="9" t="s">
        <v>135</v>
      </c>
    </row>
    <row r="6" customFormat="false" ht="31.5" hidden="false" customHeight="true" outlineLevel="0" collapsed="false">
      <c r="A6" s="7" t="s">
        <v>136</v>
      </c>
      <c r="B6" s="4" t="s">
        <v>137</v>
      </c>
      <c r="C6" s="14" t="s">
        <v>138</v>
      </c>
      <c r="D6" s="9" t="s">
        <v>139</v>
      </c>
    </row>
    <row r="7" customFormat="false" ht="31.5" hidden="false" customHeight="true" outlineLevel="0" collapsed="false">
      <c r="A7" s="7" t="s">
        <v>140</v>
      </c>
      <c r="B7" s="4" t="s">
        <v>141</v>
      </c>
      <c r="C7" s="14" t="s">
        <v>142</v>
      </c>
      <c r="D7" s="9" t="s">
        <v>143</v>
      </c>
    </row>
    <row r="8" customFormat="false" ht="31.5" hidden="false" customHeight="true" outlineLevel="0" collapsed="false">
      <c r="A8" s="7" t="s">
        <v>144</v>
      </c>
      <c r="B8" s="4" t="s">
        <v>145</v>
      </c>
      <c r="C8" s="14" t="s">
        <v>146</v>
      </c>
      <c r="D8" s="9" t="s">
        <v>147</v>
      </c>
    </row>
    <row r="9" customFormat="false" ht="31.5" hidden="false" customHeight="true" outlineLevel="0" collapsed="false">
      <c r="A9" s="7" t="s">
        <v>148</v>
      </c>
      <c r="B9" s="4" t="s">
        <v>149</v>
      </c>
      <c r="C9" s="14" t="s">
        <v>150</v>
      </c>
      <c r="D9" s="9" t="s">
        <v>151</v>
      </c>
    </row>
    <row r="10" customFormat="false" ht="31.5" hidden="false" customHeight="true" outlineLevel="0" collapsed="false">
      <c r="A10" s="7" t="s">
        <v>152</v>
      </c>
      <c r="B10" s="4" t="s">
        <v>153</v>
      </c>
      <c r="C10" s="14" t="s">
        <v>154</v>
      </c>
      <c r="D10" s="9" t="s">
        <v>155</v>
      </c>
    </row>
    <row r="11" customFormat="false" ht="31.5" hidden="false" customHeight="true" outlineLevel="0" collapsed="false">
      <c r="A11" s="7" t="s">
        <v>156</v>
      </c>
      <c r="B11" s="4" t="s">
        <v>157</v>
      </c>
      <c r="C11" s="14" t="s">
        <v>158</v>
      </c>
      <c r="D11" s="9"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6"/>
    <col collapsed="false" customWidth="true" hidden="false" outlineLevel="0" max="4" min="4" style="0" width="40"/>
  </cols>
  <sheetData>
    <row r="1" customFormat="false" ht="18.55" hidden="false" customHeight="false" outlineLevel="0" collapsed="false">
      <c r="A1" s="1" t="s">
        <v>160</v>
      </c>
    </row>
    <row r="2" customFormat="false" ht="15" hidden="false" customHeight="false" outlineLevel="0" collapsed="false">
      <c r="A2" s="2" t="s">
        <v>161</v>
      </c>
    </row>
    <row r="3" customFormat="false" ht="15" hidden="false" customHeight="false" outlineLevel="0" collapsed="false">
      <c r="A3" s="15" t="s">
        <v>162</v>
      </c>
      <c r="B3" s="15"/>
      <c r="C3" s="15"/>
      <c r="D3" s="15"/>
    </row>
    <row r="4" customFormat="false" ht="15" hidden="false" customHeight="false" outlineLevel="0" collapsed="false">
      <c r="A4" s="6" t="s">
        <v>163</v>
      </c>
      <c r="B4" s="6" t="s">
        <v>164</v>
      </c>
      <c r="C4" s="6" t="s">
        <v>165</v>
      </c>
      <c r="D4" s="6" t="s">
        <v>166</v>
      </c>
    </row>
    <row r="5" customFormat="false" ht="15" hidden="false" customHeight="false" outlineLevel="0" collapsed="false">
      <c r="A5" s="14" t="s">
        <v>167</v>
      </c>
      <c r="B5" s="16" t="n">
        <v>0.14</v>
      </c>
      <c r="C5" s="14" t="s">
        <v>168</v>
      </c>
      <c r="D5" s="17" t="s">
        <v>169</v>
      </c>
    </row>
    <row r="6" customFormat="false" ht="15" hidden="false" customHeight="false" outlineLevel="0" collapsed="false">
      <c r="A6" s="14" t="s">
        <v>170</v>
      </c>
      <c r="B6" s="16" t="n">
        <v>0.0028</v>
      </c>
      <c r="C6" s="14" t="s">
        <v>168</v>
      </c>
      <c r="D6" s="17" t="s">
        <v>171</v>
      </c>
    </row>
    <row r="7" customFormat="false" ht="15" hidden="false" customHeight="false" outlineLevel="0" collapsed="false">
      <c r="A7" s="14" t="s">
        <v>172</v>
      </c>
      <c r="B7" s="16" t="n">
        <v>0.28</v>
      </c>
      <c r="C7" s="14" t="s">
        <v>168</v>
      </c>
      <c r="D7" s="17" t="s">
        <v>173</v>
      </c>
    </row>
    <row r="8" customFormat="false" ht="15" hidden="false" customHeight="false" outlineLevel="0" collapsed="false">
      <c r="A8" s="14" t="s">
        <v>174</v>
      </c>
      <c r="B8" s="16" t="n">
        <v>0.435</v>
      </c>
      <c r="C8" s="14" t="s">
        <v>168</v>
      </c>
      <c r="D8" s="17" t="s">
        <v>175</v>
      </c>
    </row>
    <row r="9" customFormat="false" ht="15" hidden="false" customHeight="false" outlineLevel="0" collapsed="false">
      <c r="A9" s="14" t="s">
        <v>176</v>
      </c>
      <c r="B9" s="16" t="n">
        <v>0.003625</v>
      </c>
      <c r="C9" s="14" t="s">
        <v>168</v>
      </c>
      <c r="D9" s="17" t="s">
        <v>173</v>
      </c>
    </row>
    <row r="10" customFormat="false" ht="15" hidden="false" customHeight="false" outlineLevel="0" collapsed="false">
      <c r="A10" s="14" t="s">
        <v>177</v>
      </c>
      <c r="B10" s="16" t="n">
        <v>0.87</v>
      </c>
      <c r="C10" s="14" t="s">
        <v>168</v>
      </c>
      <c r="D10" s="17" t="s">
        <v>173</v>
      </c>
    </row>
    <row r="11" customFormat="false" ht="15" hidden="false" customHeight="false" outlineLevel="0" collapsed="false">
      <c r="A11" s="14" t="s">
        <v>178</v>
      </c>
      <c r="B11" s="16" t="n">
        <v>0.15</v>
      </c>
      <c r="C11" s="14" t="s">
        <v>168</v>
      </c>
      <c r="D11" s="17" t="s">
        <v>179</v>
      </c>
    </row>
    <row r="12" customFormat="false" ht="15" hidden="false" customHeight="false" outlineLevel="0" collapsed="false">
      <c r="A12" s="14" t="s">
        <v>180</v>
      </c>
      <c r="B12" s="16" t="n">
        <v>0.6</v>
      </c>
      <c r="C12" s="14" t="s">
        <v>168</v>
      </c>
      <c r="D12" s="17" t="s">
        <v>179</v>
      </c>
    </row>
    <row r="13" customFormat="false" ht="15" hidden="false" customHeight="false" outlineLevel="0" collapsed="false">
      <c r="A13" s="14" t="s">
        <v>181</v>
      </c>
      <c r="B13" s="16" t="n">
        <v>1.25</v>
      </c>
      <c r="C13" s="14" t="s">
        <v>168</v>
      </c>
      <c r="D13" s="17" t="s">
        <v>179</v>
      </c>
    </row>
    <row r="14" customFormat="false" ht="15" hidden="false" customHeight="false" outlineLevel="0" collapsed="false">
      <c r="A14" s="14" t="s">
        <v>182</v>
      </c>
      <c r="B14" s="16" t="n">
        <v>5</v>
      </c>
      <c r="C14" s="14" t="s">
        <v>168</v>
      </c>
      <c r="D14" s="17" t="s">
        <v>179</v>
      </c>
    </row>
    <row r="15" customFormat="false" ht="15" hidden="false" customHeight="false" outlineLevel="0" collapsed="false">
      <c r="A15" s="14" t="s">
        <v>183</v>
      </c>
      <c r="B15" s="16" t="n">
        <v>0</v>
      </c>
      <c r="C15" s="14" t="s">
        <v>168</v>
      </c>
      <c r="D15" s="17" t="s">
        <v>184</v>
      </c>
    </row>
    <row r="16" customFormat="false" ht="15" hidden="false" customHeight="false" outlineLevel="0" collapsed="false">
      <c r="A16" s="14" t="s">
        <v>185</v>
      </c>
      <c r="B16" s="16" t="n">
        <v>0</v>
      </c>
      <c r="C16" s="14" t="s">
        <v>168</v>
      </c>
      <c r="D16" s="17" t="s">
        <v>186</v>
      </c>
    </row>
    <row r="18" customFormat="false" ht="15" hidden="false" customHeight="false" outlineLevel="0" collapsed="false">
      <c r="A18" s="15" t="s">
        <v>187</v>
      </c>
      <c r="B18" s="15"/>
      <c r="C18" s="15"/>
      <c r="D18" s="15"/>
    </row>
    <row r="19" customFormat="false" ht="15" hidden="false" customHeight="false" outlineLevel="0" collapsed="false">
      <c r="A19" s="6" t="s">
        <v>163</v>
      </c>
      <c r="B19" s="6" t="s">
        <v>164</v>
      </c>
      <c r="C19" s="6" t="s">
        <v>165</v>
      </c>
      <c r="D19" s="6" t="s">
        <v>166</v>
      </c>
    </row>
    <row r="20" customFormat="false" ht="15" hidden="false" customHeight="false" outlineLevel="0" collapsed="false">
      <c r="A20" s="14" t="s">
        <v>188</v>
      </c>
      <c r="B20" s="18" t="n">
        <v>1500</v>
      </c>
      <c r="C20" s="14" t="s">
        <v>189</v>
      </c>
      <c r="D20" s="17" t="s">
        <v>190</v>
      </c>
    </row>
    <row r="21" customFormat="false" ht="15" hidden="false" customHeight="false" outlineLevel="0" collapsed="false">
      <c r="A21" s="14" t="s">
        <v>191</v>
      </c>
      <c r="B21" s="18" t="n">
        <v>1000</v>
      </c>
      <c r="C21" s="14" t="s">
        <v>189</v>
      </c>
      <c r="D21" s="17" t="s">
        <v>192</v>
      </c>
    </row>
    <row r="22" customFormat="false" ht="15" hidden="false" customHeight="false" outlineLevel="0" collapsed="false">
      <c r="A22" s="14" t="s">
        <v>193</v>
      </c>
      <c r="B22" s="18" t="n">
        <v>600</v>
      </c>
      <c r="C22" s="14" t="s">
        <v>189</v>
      </c>
      <c r="D22" s="17" t="s">
        <v>194</v>
      </c>
    </row>
    <row r="23" customFormat="false" ht="15" hidden="false" customHeight="false" outlineLevel="0" collapsed="false">
      <c r="A23" s="14" t="s">
        <v>195</v>
      </c>
      <c r="B23" s="19" t="n">
        <v>0.5</v>
      </c>
      <c r="C23" s="14" t="s">
        <v>196</v>
      </c>
      <c r="D23" s="17" t="s">
        <v>197</v>
      </c>
    </row>
    <row r="24" customFormat="false" ht="15" hidden="false" customHeight="false" outlineLevel="0" collapsed="false">
      <c r="A24" s="14" t="s">
        <v>198</v>
      </c>
      <c r="B24" s="18" t="n">
        <v>12000</v>
      </c>
      <c r="C24" s="14" t="s">
        <v>189</v>
      </c>
      <c r="D24" s="17" t="s">
        <v>194</v>
      </c>
    </row>
    <row r="25" customFormat="false" ht="15" hidden="false" customHeight="false" outlineLevel="0" collapsed="false">
      <c r="A25" s="14" t="s">
        <v>199</v>
      </c>
      <c r="B25" s="18" t="n">
        <v>4000</v>
      </c>
      <c r="C25" s="14" t="s">
        <v>189</v>
      </c>
      <c r="D25" s="17" t="s">
        <v>194</v>
      </c>
    </row>
    <row r="27" customFormat="false" ht="15" hidden="false" customHeight="false" outlineLevel="0" collapsed="false">
      <c r="A27" s="15" t="s">
        <v>200</v>
      </c>
      <c r="B27" s="15"/>
      <c r="C27" s="15"/>
      <c r="D27" s="15"/>
    </row>
    <row r="28" customFormat="false" ht="15" hidden="false" customHeight="false" outlineLevel="0" collapsed="false">
      <c r="A28" s="6" t="s">
        <v>163</v>
      </c>
      <c r="B28" s="6" t="s">
        <v>164</v>
      </c>
      <c r="C28" s="6" t="s">
        <v>165</v>
      </c>
      <c r="D28" s="6" t="s">
        <v>166</v>
      </c>
    </row>
    <row r="29" customFormat="false" ht="15" hidden="false" customHeight="false" outlineLevel="0" collapsed="false">
      <c r="A29" s="14" t="s">
        <v>201</v>
      </c>
      <c r="B29" s="19" t="n">
        <v>0.75</v>
      </c>
      <c r="C29" s="14" t="s">
        <v>196</v>
      </c>
      <c r="D29" s="17" t="s">
        <v>202</v>
      </c>
    </row>
    <row r="30" customFormat="false" ht="15" hidden="false" customHeight="false" outlineLevel="0" collapsed="false">
      <c r="A30" s="14" t="s">
        <v>203</v>
      </c>
      <c r="B30" s="19" t="n">
        <v>0.05</v>
      </c>
      <c r="C30" s="14" t="s">
        <v>196</v>
      </c>
      <c r="D30" s="17" t="s">
        <v>204</v>
      </c>
    </row>
    <row r="31" customFormat="false" ht="15" hidden="false" customHeight="false" outlineLevel="0" collapsed="false">
      <c r="A31" s="14" t="s">
        <v>205</v>
      </c>
      <c r="B31" s="19" t="n">
        <v>0.2</v>
      </c>
      <c r="C31" s="14" t="s">
        <v>196</v>
      </c>
      <c r="D31" s="17" t="s">
        <v>206</v>
      </c>
    </row>
    <row r="32" customFormat="false" ht="15" hidden="false" customHeight="false" outlineLevel="0" collapsed="false">
      <c r="A32" s="14" t="s">
        <v>207</v>
      </c>
      <c r="B32" s="19" t="n">
        <v>0.9</v>
      </c>
      <c r="C32" s="14" t="s">
        <v>196</v>
      </c>
      <c r="D32" s="17" t="s">
        <v>194</v>
      </c>
    </row>
    <row r="33" customFormat="false" ht="15" hidden="false" customHeight="false" outlineLevel="0" collapsed="false">
      <c r="A33" s="14" t="s">
        <v>208</v>
      </c>
      <c r="B33" s="19" t="n">
        <v>0.1</v>
      </c>
      <c r="C33" s="14" t="s">
        <v>196</v>
      </c>
      <c r="D33" s="17" t="s">
        <v>204</v>
      </c>
    </row>
    <row r="35" customFormat="false" ht="15" hidden="false" customHeight="false" outlineLevel="0" collapsed="false">
      <c r="A35" s="15" t="s">
        <v>209</v>
      </c>
      <c r="B35" s="15"/>
      <c r="C35" s="15"/>
      <c r="D35" s="15"/>
    </row>
    <row r="36" customFormat="false" ht="15" hidden="false" customHeight="false" outlineLevel="0" collapsed="false">
      <c r="A36" s="6" t="s">
        <v>163</v>
      </c>
      <c r="B36" s="6" t="s">
        <v>210</v>
      </c>
      <c r="C36" s="6"/>
      <c r="D36" s="6" t="s">
        <v>211</v>
      </c>
    </row>
    <row r="37" customFormat="false" ht="15" hidden="false" customHeight="true" outlineLevel="0" collapsed="false">
      <c r="A37" s="14" t="s">
        <v>212</v>
      </c>
      <c r="B37" s="20" t="n">
        <f aca="false">($B$20*($B$23*$B$6+(1-$B$23)*$B$5)+$B$21*$B$5+$B$22*$B$7)/1000000</f>
        <v>0.0004151</v>
      </c>
      <c r="D37" s="21" t="s">
        <v>213</v>
      </c>
    </row>
    <row r="38" customFormat="false" ht="15" hidden="false" customHeight="false" outlineLevel="0" collapsed="false">
      <c r="A38" s="14" t="s">
        <v>214</v>
      </c>
      <c r="B38" s="20" t="n">
        <f aca="false">(($B$20+$B$21)*$B$11+$B$22*$B$12)/1000000</f>
        <v>0.000735</v>
      </c>
      <c r="D38" s="21"/>
    </row>
    <row r="39" customFormat="false" ht="15" hidden="false" customHeight="false" outlineLevel="0" collapsed="false">
      <c r="A39" s="14" t="s">
        <v>215</v>
      </c>
      <c r="B39" s="20" t="n">
        <f aca="false">(($B$20+$B$21)*$B$15+$B$22*$B$16)/1000000</f>
        <v>0</v>
      </c>
      <c r="D39" s="21"/>
    </row>
    <row r="40" customFormat="false" ht="15" hidden="false" customHeight="false" outlineLevel="0" collapsed="false">
      <c r="A40" s="22" t="s">
        <v>216</v>
      </c>
      <c r="B40" s="23" t="n">
        <f aca="false">$B$29*B37+$B$30*B38+$B$31*B39</f>
        <v>0.000348075</v>
      </c>
      <c r="D40" s="21"/>
    </row>
    <row r="41" customFormat="false" ht="15" hidden="false" customHeight="false" outlineLevel="0" collapsed="false">
      <c r="A41" s="14" t="s">
        <v>217</v>
      </c>
      <c r="B41" s="20" t="n">
        <f aca="false">($B$24*($B$23*$B$9+(1-$B$23)*$B$8)+$B$25*$B$10)/1000000</f>
        <v>0.00611175</v>
      </c>
      <c r="D41" s="21"/>
    </row>
    <row r="42" customFormat="false" ht="15" hidden="false" customHeight="false" outlineLevel="0" collapsed="false">
      <c r="A42" s="14" t="s">
        <v>218</v>
      </c>
      <c r="B42" s="20" t="n">
        <f aca="false">($B$24*$B$13+$B$25*$B$14)/1000000</f>
        <v>0.035</v>
      </c>
      <c r="D42" s="21"/>
    </row>
    <row r="43" customFormat="false" ht="15" hidden="false" customHeight="false" outlineLevel="0" collapsed="false">
      <c r="A43" s="22" t="s">
        <v>219</v>
      </c>
      <c r="B43" s="23" t="n">
        <f aca="false">$B$32*B41+$B$33*B42</f>
        <v>0.009000575</v>
      </c>
      <c r="D43" s="21"/>
    </row>
    <row r="45" customFormat="false" ht="15" hidden="false" customHeight="false" outlineLevel="0" collapsed="false">
      <c r="A45" s="15" t="s">
        <v>220</v>
      </c>
      <c r="B45" s="15"/>
      <c r="C45" s="15"/>
      <c r="D45" s="15"/>
    </row>
    <row r="46" customFormat="false" ht="15" hidden="false" customHeight="false" outlineLevel="0" collapsed="false">
      <c r="A46" s="6" t="s">
        <v>163</v>
      </c>
      <c r="B46" s="6" t="s">
        <v>210</v>
      </c>
      <c r="C46" s="6" t="s">
        <v>165</v>
      </c>
      <c r="D46" s="6" t="s">
        <v>166</v>
      </c>
    </row>
    <row r="47" customFormat="false" ht="15" hidden="false" customHeight="false" outlineLevel="0" collapsed="false">
      <c r="A47" s="14" t="s">
        <v>221</v>
      </c>
      <c r="B47" s="24" t="n">
        <v>0.0002</v>
      </c>
      <c r="C47" s="14" t="s">
        <v>222</v>
      </c>
      <c r="D47" s="17" t="s">
        <v>223</v>
      </c>
    </row>
    <row r="48" customFormat="false" ht="15" hidden="false" customHeight="false" outlineLevel="0" collapsed="false">
      <c r="A48" s="14" t="s">
        <v>224</v>
      </c>
      <c r="B48" s="24" t="n">
        <v>0.0003</v>
      </c>
      <c r="C48" s="14" t="s">
        <v>222</v>
      </c>
      <c r="D48" s="17" t="s">
        <v>225</v>
      </c>
    </row>
    <row r="49" customFormat="false" ht="15" hidden="false" customHeight="false" outlineLevel="0" collapsed="false">
      <c r="A49" s="14" t="s">
        <v>226</v>
      </c>
      <c r="B49" s="24" t="n">
        <v>0.009</v>
      </c>
      <c r="C49" s="14" t="s">
        <v>227</v>
      </c>
      <c r="D49" s="17" t="s">
        <v>228</v>
      </c>
    </row>
    <row r="51" customFormat="false" ht="15" hidden="false" customHeight="false" outlineLevel="0" collapsed="false">
      <c r="A51" s="15" t="s">
        <v>229</v>
      </c>
      <c r="B51" s="15"/>
      <c r="C51" s="15"/>
      <c r="D51" s="15"/>
    </row>
    <row r="52" customFormat="false" ht="15" hidden="false" customHeight="false" outlineLevel="0" collapsed="false">
      <c r="A52" s="6" t="s">
        <v>163</v>
      </c>
      <c r="B52" s="6" t="s">
        <v>164</v>
      </c>
      <c r="C52" s="6" t="s">
        <v>165</v>
      </c>
      <c r="D52" s="6" t="s">
        <v>166</v>
      </c>
    </row>
    <row r="53" customFormat="false" ht="15" hidden="false" customHeight="false" outlineLevel="0" collapsed="false">
      <c r="A53" s="14" t="s">
        <v>230</v>
      </c>
      <c r="B53" s="18" t="n">
        <v>140</v>
      </c>
      <c r="C53" s="14" t="s">
        <v>231</v>
      </c>
      <c r="D53" s="17" t="s">
        <v>194</v>
      </c>
    </row>
    <row r="54" customFormat="false" ht="15" hidden="false" customHeight="false" outlineLevel="0" collapsed="false">
      <c r="A54" s="14" t="s">
        <v>232</v>
      </c>
      <c r="B54" s="18" t="n">
        <v>0</v>
      </c>
      <c r="C54" s="14" t="s">
        <v>231</v>
      </c>
      <c r="D54" s="17" t="s">
        <v>233</v>
      </c>
    </row>
    <row r="55" customFormat="false" ht="15" hidden="false" customHeight="false" outlineLevel="0" collapsed="false">
      <c r="A55" s="14" t="s">
        <v>234</v>
      </c>
      <c r="B55" s="18" t="n">
        <v>900</v>
      </c>
      <c r="C55" s="14" t="s">
        <v>231</v>
      </c>
      <c r="D55" s="17" t="s">
        <v>235</v>
      </c>
    </row>
    <row r="56" customFormat="false" ht="15" hidden="false" customHeight="false" outlineLevel="0" collapsed="false">
      <c r="A56" s="14" t="s">
        <v>236</v>
      </c>
      <c r="B56" s="18" t="n">
        <v>150</v>
      </c>
      <c r="C56" s="14" t="s">
        <v>231</v>
      </c>
      <c r="D56" s="17" t="s">
        <v>237</v>
      </c>
    </row>
    <row r="57" customFormat="false" ht="15" hidden="false" customHeight="false" outlineLevel="0" collapsed="false">
      <c r="A57" s="14" t="s">
        <v>238</v>
      </c>
      <c r="B57" s="18" t="n">
        <v>1500</v>
      </c>
      <c r="C57" s="14" t="s">
        <v>231</v>
      </c>
      <c r="D57" s="17" t="s">
        <v>239</v>
      </c>
    </row>
    <row r="58" customFormat="false" ht="15" hidden="false" customHeight="false" outlineLevel="0" collapsed="false">
      <c r="A58" s="14" t="s">
        <v>240</v>
      </c>
      <c r="B58" s="18" t="n">
        <v>300</v>
      </c>
      <c r="C58" s="14" t="s">
        <v>231</v>
      </c>
      <c r="D58" s="17" t="s">
        <v>241</v>
      </c>
    </row>
    <row r="60" customFormat="false" ht="15" hidden="false" customHeight="false" outlineLevel="0" collapsed="false">
      <c r="A60" s="15" t="s">
        <v>242</v>
      </c>
      <c r="B60" s="15"/>
      <c r="C60" s="15"/>
      <c r="D60" s="15"/>
    </row>
    <row r="61" customFormat="false" ht="15" hidden="false" customHeight="false" outlineLevel="0" collapsed="false">
      <c r="A61" s="6" t="s">
        <v>163</v>
      </c>
      <c r="B61" s="6" t="s">
        <v>164</v>
      </c>
      <c r="C61" s="6" t="s">
        <v>165</v>
      </c>
      <c r="D61" s="6" t="s">
        <v>166</v>
      </c>
    </row>
    <row r="62" customFormat="false" ht="15" hidden="false" customHeight="false" outlineLevel="0" collapsed="false">
      <c r="A62" s="14" t="s">
        <v>243</v>
      </c>
      <c r="B62" s="19" t="n">
        <v>0.029</v>
      </c>
      <c r="C62" s="14"/>
      <c r="D62" s="17" t="s">
        <v>173</v>
      </c>
    </row>
    <row r="63" customFormat="false" ht="15" hidden="false" customHeight="false" outlineLevel="0" collapsed="false">
      <c r="A63" s="14" t="s">
        <v>244</v>
      </c>
      <c r="B63" s="25" t="n">
        <v>0.3</v>
      </c>
      <c r="C63" s="14"/>
      <c r="D63" s="17" t="s">
        <v>173</v>
      </c>
    </row>
    <row r="64" customFormat="false" ht="15" hidden="false" customHeight="false" outlineLevel="0" collapsed="false">
      <c r="A64" s="14" t="s">
        <v>245</v>
      </c>
      <c r="B64" s="19" t="n">
        <v>0.015</v>
      </c>
      <c r="C64" s="14"/>
      <c r="D64" s="17" t="s">
        <v>246</v>
      </c>
    </row>
    <row r="65" customFormat="false" ht="15" hidden="false" customHeight="false" outlineLevel="0" collapsed="false">
      <c r="A65" s="14" t="s">
        <v>247</v>
      </c>
      <c r="B65" s="26" t="n">
        <v>0.2</v>
      </c>
      <c r="C65" s="14"/>
      <c r="D65" s="17" t="s">
        <v>173</v>
      </c>
    </row>
    <row r="66" customFormat="false" ht="15" hidden="false" customHeight="false" outlineLevel="0" collapsed="false">
      <c r="A66" s="14" t="s">
        <v>248</v>
      </c>
      <c r="B66" s="19" t="n">
        <v>0.0236</v>
      </c>
      <c r="C66" s="14"/>
      <c r="D66" s="17" t="s">
        <v>249</v>
      </c>
    </row>
    <row r="67" customFormat="false" ht="15" hidden="false" customHeight="false" outlineLevel="0" collapsed="false">
      <c r="A67" s="14" t="s">
        <v>250</v>
      </c>
      <c r="B67" s="19" t="n">
        <v>0.18</v>
      </c>
      <c r="C67" s="14"/>
      <c r="D67" s="17" t="s">
        <v>251</v>
      </c>
    </row>
    <row r="68" customFormat="false" ht="15" hidden="false" customHeight="false" outlineLevel="0" collapsed="false">
      <c r="A68" s="14" t="s">
        <v>252</v>
      </c>
      <c r="B68" s="19" t="n">
        <v>0.2</v>
      </c>
      <c r="C68" s="14"/>
      <c r="D68" s="17" t="s">
        <v>253</v>
      </c>
    </row>
    <row r="69" customFormat="false" ht="15" hidden="false" customHeight="false" outlineLevel="0" collapsed="false">
      <c r="A69" s="14" t="s">
        <v>254</v>
      </c>
      <c r="B69" s="18" t="n">
        <v>86</v>
      </c>
      <c r="C69" s="14"/>
      <c r="D69" s="17" t="s">
        <v>173</v>
      </c>
    </row>
    <row r="70" customFormat="false" ht="15" hidden="false" customHeight="false" outlineLevel="0" collapsed="false">
      <c r="A70" s="14" t="s">
        <v>255</v>
      </c>
      <c r="B70" s="25" t="n">
        <v>1.27</v>
      </c>
      <c r="C70" s="14"/>
      <c r="D70" s="17" t="s">
        <v>173</v>
      </c>
    </row>
    <row r="72" customFormat="false" ht="15" hidden="false" customHeight="false" outlineLevel="0" collapsed="false">
      <c r="A72" s="15" t="s">
        <v>256</v>
      </c>
      <c r="B72" s="15"/>
      <c r="C72" s="15"/>
      <c r="D72" s="15"/>
    </row>
    <row r="73" customFormat="false" ht="15" hidden="false" customHeight="false" outlineLevel="0" collapsed="false">
      <c r="A73" s="6" t="s">
        <v>163</v>
      </c>
      <c r="B73" s="6" t="s">
        <v>210</v>
      </c>
      <c r="C73" s="6" t="s">
        <v>165</v>
      </c>
      <c r="D73" s="6" t="s">
        <v>166</v>
      </c>
    </row>
    <row r="74" customFormat="false" ht="15" hidden="false" customHeight="false" outlineLevel="0" collapsed="false">
      <c r="A74" s="14" t="s">
        <v>257</v>
      </c>
      <c r="B74" s="25" t="n">
        <v>0.02</v>
      </c>
      <c r="C74" s="14" t="s">
        <v>258</v>
      </c>
    </row>
    <row r="75" customFormat="false" ht="15" hidden="false" customHeight="false" outlineLevel="0" collapsed="false">
      <c r="A75" s="14" t="s">
        <v>259</v>
      </c>
      <c r="B75" s="25" t="n">
        <v>0.1</v>
      </c>
      <c r="C75" s="14" t="s">
        <v>258</v>
      </c>
    </row>
    <row r="76" customFormat="false" ht="15" hidden="false" customHeight="false" outlineLevel="0" collapsed="false">
      <c r="A76" s="14" t="s">
        <v>260</v>
      </c>
      <c r="B76" s="25" t="n">
        <v>0.15</v>
      </c>
      <c r="C76" s="14" t="s">
        <v>258</v>
      </c>
    </row>
    <row r="77" customFormat="false" ht="15" hidden="false" customHeight="false" outlineLevel="0" collapsed="false">
      <c r="A77" s="14" t="s">
        <v>261</v>
      </c>
      <c r="B77" s="25" t="n">
        <v>0.03</v>
      </c>
      <c r="C77" s="14" t="s">
        <v>258</v>
      </c>
    </row>
    <row r="78" customFormat="false" ht="15" hidden="false" customHeight="false" outlineLevel="0" collapsed="false">
      <c r="A78" s="14" t="s">
        <v>262</v>
      </c>
      <c r="B78" s="25" t="n">
        <v>0.15</v>
      </c>
      <c r="C78" s="14" t="s">
        <v>258</v>
      </c>
    </row>
    <row r="79" customFormat="false" ht="15" hidden="false" customHeight="false" outlineLevel="0" collapsed="false">
      <c r="A79" s="14" t="s">
        <v>263</v>
      </c>
      <c r="B79" s="25" t="n">
        <v>0.2</v>
      </c>
      <c r="C79" s="14" t="s">
        <v>258</v>
      </c>
    </row>
    <row r="80" customFormat="false" ht="15" hidden="false" customHeight="false" outlineLevel="0" collapsed="false">
      <c r="A80" s="14" t="s">
        <v>264</v>
      </c>
      <c r="B80" s="25" t="n">
        <v>0.02</v>
      </c>
      <c r="C80" s="14" t="s">
        <v>258</v>
      </c>
    </row>
    <row r="81" customFormat="false" ht="15" hidden="false" customHeight="false" outlineLevel="0" collapsed="false">
      <c r="A81" s="14" t="s">
        <v>265</v>
      </c>
      <c r="B81" s="25" t="n">
        <v>0.5</v>
      </c>
      <c r="C81" s="14" t="s">
        <v>258</v>
      </c>
    </row>
    <row r="82" customFormat="false" ht="15" hidden="false" customHeight="false" outlineLevel="0" collapsed="false">
      <c r="A82" s="14" t="s">
        <v>266</v>
      </c>
      <c r="B82" s="25" t="n">
        <v>1.5</v>
      </c>
      <c r="C82" s="14" t="s">
        <v>258</v>
      </c>
    </row>
    <row r="83" customFormat="false" ht="15" hidden="false" customHeight="false" outlineLevel="0" collapsed="false">
      <c r="A83" s="14" t="s">
        <v>267</v>
      </c>
      <c r="B83" s="25" t="n">
        <v>0.9</v>
      </c>
      <c r="C83" s="14" t="s">
        <v>258</v>
      </c>
    </row>
    <row r="85" customFormat="false" ht="15" hidden="false" customHeight="false" outlineLevel="0" collapsed="false">
      <c r="A85" s="15" t="s">
        <v>268</v>
      </c>
      <c r="B85" s="15"/>
      <c r="C85" s="15"/>
      <c r="D85" s="15"/>
    </row>
    <row r="86" customFormat="false" ht="15" hidden="false" customHeight="false" outlineLevel="0" collapsed="false">
      <c r="A86" s="6" t="s">
        <v>163</v>
      </c>
      <c r="B86" s="6" t="s">
        <v>210</v>
      </c>
      <c r="C86" s="6" t="s">
        <v>165</v>
      </c>
      <c r="D86" s="6" t="s">
        <v>166</v>
      </c>
    </row>
    <row r="87" customFormat="false" ht="15" hidden="false" customHeight="false" outlineLevel="0" collapsed="false">
      <c r="A87" s="14" t="s">
        <v>269</v>
      </c>
      <c r="B87" s="27" t="n">
        <v>25</v>
      </c>
      <c r="C87" s="14" t="s">
        <v>270</v>
      </c>
      <c r="D87" s="17" t="s">
        <v>271</v>
      </c>
    </row>
    <row r="88" customFormat="false" ht="15" hidden="false" customHeight="false" outlineLevel="0" collapsed="false">
      <c r="A88" s="14" t="s">
        <v>272</v>
      </c>
      <c r="B88" s="27" t="n">
        <v>15</v>
      </c>
      <c r="C88" s="14" t="s">
        <v>270</v>
      </c>
      <c r="D88" s="17" t="s">
        <v>273</v>
      </c>
    </row>
    <row r="89" customFormat="false" ht="15" hidden="false" customHeight="false" outlineLevel="0" collapsed="false">
      <c r="A89" s="14" t="s">
        <v>274</v>
      </c>
      <c r="B89" s="27" t="n">
        <v>10</v>
      </c>
      <c r="C89" s="14" t="s">
        <v>270</v>
      </c>
      <c r="D89" s="17" t="s">
        <v>194</v>
      </c>
    </row>
    <row r="90" customFormat="false" ht="15" hidden="false" customHeight="false" outlineLevel="0" collapsed="false">
      <c r="A90" s="14" t="s">
        <v>275</v>
      </c>
      <c r="B90" s="27" t="n">
        <v>120</v>
      </c>
      <c r="C90" s="14" t="s">
        <v>270</v>
      </c>
      <c r="D90" s="17" t="s">
        <v>194</v>
      </c>
    </row>
    <row r="91" customFormat="false" ht="15" hidden="false" customHeight="false" outlineLevel="0" collapsed="false">
      <c r="A91" s="14" t="s">
        <v>276</v>
      </c>
      <c r="B91" s="27" t="n">
        <v>0</v>
      </c>
      <c r="C91" s="14" t="s">
        <v>270</v>
      </c>
      <c r="D91" s="17" t="s">
        <v>277</v>
      </c>
    </row>
    <row r="93" customFormat="false" ht="15" hidden="false" customHeight="false" outlineLevel="0" collapsed="false">
      <c r="A93" s="15" t="s">
        <v>278</v>
      </c>
      <c r="B93" s="15"/>
      <c r="C93" s="15"/>
      <c r="D93" s="15"/>
    </row>
    <row r="94" customFormat="false" ht="15" hidden="false" customHeight="false" outlineLevel="0" collapsed="false">
      <c r="A94" s="6" t="s">
        <v>163</v>
      </c>
      <c r="B94" s="6" t="s">
        <v>164</v>
      </c>
      <c r="C94" s="6" t="s">
        <v>165</v>
      </c>
      <c r="D94" s="6" t="s">
        <v>166</v>
      </c>
    </row>
    <row r="95" customFormat="false" ht="15" hidden="false" customHeight="false" outlineLevel="0" collapsed="false">
      <c r="A95" s="14" t="s">
        <v>279</v>
      </c>
      <c r="B95" s="19" t="n">
        <v>0.03</v>
      </c>
      <c r="C95" s="14"/>
      <c r="D95" s="17" t="s">
        <v>280</v>
      </c>
    </row>
    <row r="96" customFormat="false" ht="15" hidden="false" customHeight="false" outlineLevel="0" collapsed="false">
      <c r="A96" s="14" t="s">
        <v>281</v>
      </c>
      <c r="B96" s="19" t="n">
        <v>0.06</v>
      </c>
      <c r="C96" s="14"/>
      <c r="D96" s="17" t="s">
        <v>282</v>
      </c>
    </row>
    <row r="97" customFormat="false" ht="15" hidden="false" customHeight="false" outlineLevel="0" collapsed="false">
      <c r="A97" s="14" t="s">
        <v>283</v>
      </c>
      <c r="B97" s="19" t="n">
        <v>0.08</v>
      </c>
      <c r="C97" s="14"/>
      <c r="D97" s="17" t="s">
        <v>284</v>
      </c>
    </row>
    <row r="98" customFormat="false" ht="15" hidden="false" customHeight="false" outlineLevel="0" collapsed="false">
      <c r="A98" s="14" t="s">
        <v>285</v>
      </c>
      <c r="B98" s="19" t="n">
        <v>0.025</v>
      </c>
      <c r="C98" s="14"/>
      <c r="D98" s="17" t="s">
        <v>286</v>
      </c>
    </row>
    <row r="99" customFormat="false" ht="15" hidden="false" customHeight="false" outlineLevel="0" collapsed="false">
      <c r="A99" s="14" t="s">
        <v>287</v>
      </c>
      <c r="B99" s="19" t="n">
        <v>0.6</v>
      </c>
      <c r="C99" s="14"/>
      <c r="D99" s="17" t="s">
        <v>194</v>
      </c>
    </row>
    <row r="100" customFormat="false" ht="15" hidden="false" customHeight="false" outlineLevel="0" collapsed="false">
      <c r="A100" s="14" t="s">
        <v>288</v>
      </c>
      <c r="B100" s="19" t="n">
        <v>0.25</v>
      </c>
      <c r="C100" s="14"/>
      <c r="D100" s="17" t="s">
        <v>194</v>
      </c>
    </row>
    <row r="101" customFormat="false" ht="15" hidden="false" customHeight="false" outlineLevel="0" collapsed="false">
      <c r="A101" s="14" t="s">
        <v>289</v>
      </c>
      <c r="B101" s="19" t="n">
        <v>0.15</v>
      </c>
      <c r="C101" s="14"/>
      <c r="D101" s="17" t="s">
        <v>194</v>
      </c>
    </row>
  </sheetData>
  <mergeCells count="1">
    <mergeCell ref="D37:D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5"/>
  </cols>
  <sheetData>
    <row r="1" customFormat="false" ht="18.55" hidden="false" customHeight="false" outlineLevel="0" collapsed="false">
      <c r="A1" s="1" t="s">
        <v>290</v>
      </c>
    </row>
    <row r="2" customFormat="false" ht="15" hidden="false" customHeight="false" outlineLevel="0" collapsed="false">
      <c r="A2" s="2" t="s">
        <v>291</v>
      </c>
    </row>
    <row r="4" customFormat="false" ht="15" hidden="false" customHeight="false" outlineLevel="0" collapsed="false">
      <c r="A4" s="6" t="s">
        <v>292</v>
      </c>
      <c r="B4" s="6" t="s">
        <v>293</v>
      </c>
      <c r="C4" s="6" t="s">
        <v>294</v>
      </c>
      <c r="D4" s="6" t="s">
        <v>295</v>
      </c>
    </row>
    <row r="5" customFormat="false" ht="15" hidden="false" customHeight="false" outlineLevel="0" collapsed="false">
      <c r="A5" s="14" t="s">
        <v>296</v>
      </c>
      <c r="B5" s="28" t="n">
        <f aca="false">Assumptions!$B$53*Assumptions!$B$47</f>
        <v>0.028</v>
      </c>
      <c r="C5" s="28" t="n">
        <f aca="false">Assumptions!$B$55*Assumptions!$B$48</f>
        <v>0.27</v>
      </c>
      <c r="D5" s="28" t="n">
        <f aca="false">Assumptions!$B$57*Assumptions!$B$48</f>
        <v>0.45</v>
      </c>
    </row>
    <row r="6" customFormat="false" ht="15" hidden="false" customHeight="false" outlineLevel="0" collapsed="false">
      <c r="A6" s="14" t="s">
        <v>297</v>
      </c>
      <c r="B6" s="28" t="n">
        <f aca="false">Assumptions!$B$54*Assumptions!$B$49</f>
        <v>0</v>
      </c>
      <c r="C6" s="28" t="n">
        <f aca="false">Assumptions!$B$56*Assumptions!$B$49</f>
        <v>1.35</v>
      </c>
      <c r="D6" s="28" t="n">
        <f aca="false">Assumptions!$B$58*Assumptions!$B$49</f>
        <v>2.7</v>
      </c>
    </row>
    <row r="7" customFormat="false" ht="15" hidden="false" customHeight="false" outlineLevel="0" collapsed="false">
      <c r="A7" s="29" t="s">
        <v>298</v>
      </c>
      <c r="B7" s="30" t="n">
        <f aca="false">SUM(B5:B6)</f>
        <v>0.028</v>
      </c>
      <c r="C7" s="30" t="n">
        <f aca="false">SUM(C5:C6)</f>
        <v>1.62</v>
      </c>
      <c r="D7" s="30" t="n">
        <f aca="false">SUM(D5:D6)</f>
        <v>3.15</v>
      </c>
    </row>
    <row r="8" customFormat="false" ht="15" hidden="false" customHeight="false" outlineLevel="0" collapsed="false">
      <c r="A8" s="14" t="s">
        <v>299</v>
      </c>
      <c r="B8" s="31" t="n">
        <v>0</v>
      </c>
      <c r="C8" s="28" t="n">
        <f aca="false">'B2C Pricing'!$B$5*Assumptions!$B$62+Assumptions!$B$63</f>
        <v>0.851</v>
      </c>
      <c r="D8" s="28" t="n">
        <f aca="false">Assumptions!$B$83</f>
        <v>0.9</v>
      </c>
    </row>
    <row r="9" customFormat="false" ht="15" hidden="false" customHeight="false" outlineLevel="0" collapsed="false">
      <c r="A9" s="14" t="s">
        <v>300</v>
      </c>
      <c r="B9" s="28" t="n">
        <f aca="false">Assumptions!$B$74</f>
        <v>0.02</v>
      </c>
      <c r="C9" s="28" t="n">
        <f aca="false">Assumptions!$B$75</f>
        <v>0.1</v>
      </c>
      <c r="D9" s="28" t="n">
        <f aca="false">Assumptions!$B$76</f>
        <v>0.15</v>
      </c>
    </row>
    <row r="10" customFormat="false" ht="15" hidden="false" customHeight="false" outlineLevel="0" collapsed="false">
      <c r="A10" s="32" t="s">
        <v>301</v>
      </c>
      <c r="B10" s="33" t="n">
        <f aca="false">B7+B8+B9</f>
        <v>0.048</v>
      </c>
      <c r="C10" s="33" t="n">
        <f aca="false">C7+C8+C9</f>
        <v>2.571</v>
      </c>
      <c r="D10" s="33" t="n">
        <f aca="false">D7+D8+D9</f>
        <v>4.2</v>
      </c>
    </row>
    <row r="11" customFormat="false" ht="15" hidden="false" customHeight="false" outlineLevel="0" collapsed="false">
      <c r="A11" s="14" t="s">
        <v>302</v>
      </c>
      <c r="B11" s="28" t="n">
        <f aca="false">Assumptions!$B$77</f>
        <v>0.03</v>
      </c>
      <c r="C11" s="28" t="n">
        <f aca="false">Assumptions!$B$78</f>
        <v>0.15</v>
      </c>
      <c r="D11" s="28" t="n">
        <f aca="false">Assumptions!$B$79</f>
        <v>0.2</v>
      </c>
    </row>
    <row r="12" customFormat="false" ht="15" hidden="false" customHeight="false" outlineLevel="0" collapsed="false">
      <c r="A12" s="14" t="s">
        <v>303</v>
      </c>
      <c r="B12" s="28" t="n">
        <f aca="false">Assumptions!$B$80</f>
        <v>0.02</v>
      </c>
      <c r="C12" s="28" t="n">
        <f aca="false">Assumptions!$B$81</f>
        <v>0.5</v>
      </c>
      <c r="D12" s="28" t="n">
        <f aca="false">Assumptions!$B$82</f>
        <v>1.5</v>
      </c>
    </row>
    <row r="13" customFormat="false" ht="15" hidden="false" customHeight="false" outlineLevel="0" collapsed="false">
      <c r="A13" s="15" t="s">
        <v>304</v>
      </c>
      <c r="B13" s="34" t="n">
        <f aca="false">B10+B11+B12</f>
        <v>0.098</v>
      </c>
      <c r="C13" s="34" t="n">
        <f aca="false">C10+C11+C12</f>
        <v>3.221</v>
      </c>
      <c r="D13" s="34" t="n">
        <f aca="false">D10+D11+D12</f>
        <v>5.9</v>
      </c>
    </row>
    <row r="15" customFormat="false" ht="15" hidden="false" customHeight="false" outlineLevel="0" collapsed="false">
      <c r="A15" s="35" t="s">
        <v>305</v>
      </c>
      <c r="B15" s="25" t="n">
        <v>5</v>
      </c>
      <c r="C15" s="25" t="n">
        <v>7</v>
      </c>
      <c r="D15" s="25" t="n">
        <v>11</v>
      </c>
    </row>
    <row r="17" customFormat="false" ht="15" hidden="false" customHeight="false" outlineLevel="0" collapsed="false">
      <c r="A17" s="36" t="s">
        <v>306</v>
      </c>
    </row>
    <row r="18" customFormat="false" ht="15" hidden="false" customHeight="false" outlineLevel="0" collapsed="false">
      <c r="A18" s="6" t="s">
        <v>307</v>
      </c>
      <c r="B18" s="6" t="s">
        <v>308</v>
      </c>
      <c r="C18" s="6" t="s">
        <v>309</v>
      </c>
      <c r="D18" s="6" t="s">
        <v>310</v>
      </c>
    </row>
    <row r="19" customFormat="false" ht="15" hidden="false" customHeight="false" outlineLevel="0" collapsed="false">
      <c r="A19" s="14" t="s">
        <v>311</v>
      </c>
      <c r="B19" s="18" t="n">
        <v>5000</v>
      </c>
      <c r="C19" s="20" t="n">
        <f aca="false">B19*Assumptions!$B$49/(Assumptions!$B$24+Assumptions!$B$25)</f>
        <v>0.0028125</v>
      </c>
      <c r="D19" s="37" t="n">
        <f aca="false">C19*Assumptions!$B$69</f>
        <v>0.241875</v>
      </c>
    </row>
    <row r="20" customFormat="false" ht="15" hidden="false" customHeight="false" outlineLevel="0" collapsed="false">
      <c r="A20" s="14" t="s">
        <v>312</v>
      </c>
      <c r="B20" s="18" t="n">
        <v>16000</v>
      </c>
      <c r="C20" s="20" t="n">
        <f aca="false">B20*Assumptions!$B$49/(Assumptions!$B$24+Assumptions!$B$25)</f>
        <v>0.009</v>
      </c>
      <c r="D20" s="37" t="n">
        <f aca="false">C20*Assumptions!$B$69</f>
        <v>0.774</v>
      </c>
    </row>
    <row r="21" customFormat="false" ht="15" hidden="false" customHeight="false" outlineLevel="0" collapsed="false">
      <c r="A21" s="14" t="s">
        <v>313</v>
      </c>
      <c r="B21" s="18" t="n">
        <v>40000</v>
      </c>
      <c r="C21" s="20" t="n">
        <f aca="false">B21*Assumptions!$B$49/(Assumptions!$B$24+Assumptions!$B$25)</f>
        <v>0.0225</v>
      </c>
      <c r="D21" s="37" t="n">
        <f aca="false">C21*Assumptions!$B$69</f>
        <v>1.935</v>
      </c>
    </row>
    <row r="23" customFormat="false" ht="43.5" hidden="false" customHeight="true" outlineLevel="0" collapsed="false">
      <c r="A23" s="38" t="s">
        <v>314</v>
      </c>
      <c r="B23" s="38"/>
      <c r="C23" s="38"/>
      <c r="D23" s="38"/>
    </row>
    <row r="25" customFormat="false" ht="15" hidden="false" customHeight="false" outlineLevel="0" collapsed="false">
      <c r="A25" s="36" t="s">
        <v>315</v>
      </c>
    </row>
    <row r="26" customFormat="false" ht="15" hidden="false" customHeight="false" outlineLevel="0" collapsed="false">
      <c r="A26" s="22" t="s">
        <v>316</v>
      </c>
      <c r="B26" s="39" t="s">
        <v>317</v>
      </c>
      <c r="C26" s="39"/>
      <c r="D26" s="39"/>
    </row>
    <row r="27" customFormat="false" ht="15" hidden="false" customHeight="false" outlineLevel="0" collapsed="false">
      <c r="A27" s="22" t="s">
        <v>318</v>
      </c>
      <c r="B27" s="39" t="s">
        <v>319</v>
      </c>
      <c r="C27" s="39"/>
      <c r="D27" s="39"/>
    </row>
    <row r="28" customFormat="false" ht="15" hidden="false" customHeight="false" outlineLevel="0" collapsed="false">
      <c r="A28" s="22" t="s">
        <v>320</v>
      </c>
      <c r="B28" s="39" t="s">
        <v>321</v>
      </c>
      <c r="C28" s="39"/>
      <c r="D28" s="39"/>
    </row>
    <row r="29" customFormat="false" ht="15" hidden="false" customHeight="false" outlineLevel="0" collapsed="false">
      <c r="A29" s="22" t="s">
        <v>322</v>
      </c>
      <c r="B29" s="39" t="s">
        <v>323</v>
      </c>
      <c r="C29" s="39"/>
      <c r="D29" s="39"/>
    </row>
  </sheetData>
  <mergeCells count="5">
    <mergeCell ref="A23:D23"/>
    <mergeCell ref="B26:D26"/>
    <mergeCell ref="B27:D27"/>
    <mergeCell ref="B28:D28"/>
    <mergeCell ref="B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14"/>
    <col collapsed="false" customWidth="true" hidden="false" outlineLevel="0" max="4" min="4" style="0" width="44"/>
  </cols>
  <sheetData>
    <row r="1" customFormat="false" ht="18.55" hidden="false" customHeight="false" outlineLevel="0" collapsed="false">
      <c r="A1" s="1" t="s">
        <v>324</v>
      </c>
    </row>
    <row r="2" customFormat="false" ht="15" hidden="false" customHeight="false" outlineLevel="0" collapsed="false">
      <c r="A2" s="2" t="s">
        <v>325</v>
      </c>
    </row>
    <row r="4" customFormat="false" ht="15" hidden="false" customHeight="false" outlineLevel="0" collapsed="false">
      <c r="A4" s="6" t="s">
        <v>326</v>
      </c>
      <c r="B4" s="6" t="s">
        <v>270</v>
      </c>
      <c r="C4" s="6" t="s">
        <v>327</v>
      </c>
      <c r="D4" s="6" t="s">
        <v>211</v>
      </c>
    </row>
    <row r="5" customFormat="false" ht="15" hidden="false" customHeight="false" outlineLevel="0" collapsed="false">
      <c r="A5" s="14" t="s">
        <v>328</v>
      </c>
      <c r="B5" s="40" t="n">
        <f aca="false">Assumptions!$B$87</f>
        <v>25</v>
      </c>
      <c r="C5" s="41" t="n">
        <f aca="false">B5*Assumptions!$B$69</f>
        <v>2150</v>
      </c>
      <c r="D5" s="17" t="s">
        <v>329</v>
      </c>
    </row>
    <row r="6" customFormat="false" ht="15" hidden="false" customHeight="false" outlineLevel="0" collapsed="false">
      <c r="A6" s="14" t="s">
        <v>330</v>
      </c>
      <c r="B6" s="40" t="n">
        <f aca="false">Assumptions!$B$88</f>
        <v>15</v>
      </c>
      <c r="C6" s="41" t="n">
        <f aca="false">B6*Assumptions!$B$69</f>
        <v>1290</v>
      </c>
      <c r="D6" s="17" t="s">
        <v>331</v>
      </c>
    </row>
    <row r="7" customFormat="false" ht="15" hidden="false" customHeight="false" outlineLevel="0" collapsed="false">
      <c r="A7" s="14" t="s">
        <v>332</v>
      </c>
      <c r="B7" s="27" t="n">
        <v>2</v>
      </c>
      <c r="C7" s="41" t="n">
        <f aca="false">B7*Assumptions!$B$69</f>
        <v>172</v>
      </c>
      <c r="D7" s="17" t="s">
        <v>333</v>
      </c>
    </row>
    <row r="8" customFormat="false" ht="15" hidden="false" customHeight="false" outlineLevel="0" collapsed="false">
      <c r="A8" s="14" t="s">
        <v>334</v>
      </c>
      <c r="B8" s="27" t="n">
        <v>8</v>
      </c>
      <c r="C8" s="41" t="n">
        <f aca="false">B8*Assumptions!$B$69</f>
        <v>688</v>
      </c>
      <c r="D8" s="17" t="s">
        <v>335</v>
      </c>
    </row>
    <row r="9" customFormat="false" ht="15" hidden="false" customHeight="false" outlineLevel="0" collapsed="false">
      <c r="A9" s="14" t="s">
        <v>336</v>
      </c>
      <c r="B9" s="27" t="n">
        <v>30</v>
      </c>
      <c r="C9" s="41" t="n">
        <f aca="false">B9*Assumptions!$B$69</f>
        <v>2580</v>
      </c>
      <c r="D9" s="17" t="s">
        <v>337</v>
      </c>
    </row>
    <row r="10" customFormat="false" ht="15" hidden="false" customHeight="false" outlineLevel="0" collapsed="false">
      <c r="A10" s="14" t="s">
        <v>338</v>
      </c>
      <c r="B10" s="27" t="n">
        <v>26</v>
      </c>
      <c r="C10" s="41" t="n">
        <f aca="false">B10*Assumptions!$B$69</f>
        <v>2236</v>
      </c>
      <c r="D10" s="17" t="s">
        <v>339</v>
      </c>
    </row>
    <row r="11" customFormat="false" ht="15" hidden="false" customHeight="false" outlineLevel="0" collapsed="false">
      <c r="A11" s="14" t="s">
        <v>340</v>
      </c>
      <c r="B11" s="27" t="n">
        <v>0</v>
      </c>
      <c r="C11" s="41" t="n">
        <f aca="false">B11*Assumptions!$B$69</f>
        <v>0</v>
      </c>
      <c r="D11" s="17" t="s">
        <v>341</v>
      </c>
    </row>
    <row r="12" customFormat="false" ht="15" hidden="false" customHeight="false" outlineLevel="0" collapsed="false">
      <c r="A12" s="14" t="s">
        <v>342</v>
      </c>
      <c r="B12" s="27" t="n">
        <v>7</v>
      </c>
      <c r="C12" s="41" t="n">
        <f aca="false">B12*Assumptions!$B$69</f>
        <v>602</v>
      </c>
      <c r="D12" s="17" t="s">
        <v>343</v>
      </c>
    </row>
    <row r="13" customFormat="false" ht="15" hidden="false" customHeight="false" outlineLevel="0" collapsed="false">
      <c r="A13" s="14" t="s">
        <v>344</v>
      </c>
      <c r="B13" s="27" t="n">
        <v>30</v>
      </c>
      <c r="C13" s="41" t="n">
        <f aca="false">B13*Assumptions!$B$69</f>
        <v>2580</v>
      </c>
      <c r="D13" s="17" t="s">
        <v>345</v>
      </c>
    </row>
    <row r="14" customFormat="false" ht="15" hidden="false" customHeight="false" outlineLevel="0" collapsed="false">
      <c r="A14" s="14" t="s">
        <v>346</v>
      </c>
      <c r="B14" s="27" t="n">
        <v>8</v>
      </c>
      <c r="C14" s="41" t="n">
        <f aca="false">B14*Assumptions!$B$69</f>
        <v>688</v>
      </c>
      <c r="D14" s="17" t="s">
        <v>347</v>
      </c>
    </row>
    <row r="15" customFormat="false" ht="15" hidden="false" customHeight="false" outlineLevel="0" collapsed="false">
      <c r="A15" s="14" t="s">
        <v>348</v>
      </c>
      <c r="B15" s="27" t="n">
        <v>19</v>
      </c>
      <c r="C15" s="41" t="n">
        <f aca="false">B15*Assumptions!$B$69</f>
        <v>1634</v>
      </c>
      <c r="D15" s="17" t="s">
        <v>349</v>
      </c>
    </row>
    <row r="16" customFormat="false" ht="15" hidden="false" customHeight="false" outlineLevel="0" collapsed="false">
      <c r="A16" s="15" t="s">
        <v>350</v>
      </c>
      <c r="B16" s="42" t="n">
        <f aca="false">SUM(B5:B15)</f>
        <v>170</v>
      </c>
      <c r="C16" s="43" t="n">
        <f aca="false">B16*Assumptions!$B$69</f>
        <v>14620</v>
      </c>
    </row>
    <row r="18" customFormat="false" ht="30" hidden="false" customHeight="true" outlineLevel="0" collapsed="false">
      <c r="A18" s="44" t="s">
        <v>351</v>
      </c>
      <c r="B18" s="44"/>
      <c r="C18" s="44"/>
      <c r="D18" s="44"/>
    </row>
  </sheetData>
  <mergeCells count="1">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3" min="2" style="0" width="11"/>
    <col collapsed="false" customWidth="true" hidden="false" outlineLevel="0" max="7" min="4" style="0" width="13"/>
    <col collapsed="false" customWidth="true" hidden="false" outlineLevel="0" max="8" min="8" style="0" width="12"/>
    <col collapsed="false" customWidth="true" hidden="false" outlineLevel="0" max="10" min="9" style="0" width="13"/>
  </cols>
  <sheetData>
    <row r="1" customFormat="false" ht="18.55" hidden="false" customHeight="false" outlineLevel="0" collapsed="false">
      <c r="A1" s="1" t="s">
        <v>352</v>
      </c>
    </row>
    <row r="2" customFormat="false" ht="15" hidden="false" customHeight="false" outlineLevel="0" collapsed="false">
      <c r="A2" s="2" t="s">
        <v>353</v>
      </c>
    </row>
    <row r="4" customFormat="false" ht="15" hidden="false" customHeight="false" outlineLevel="0" collapsed="false">
      <c r="A4" s="6" t="s">
        <v>354</v>
      </c>
      <c r="B4" s="6" t="s">
        <v>355</v>
      </c>
      <c r="C4" s="6" t="s">
        <v>356</v>
      </c>
      <c r="D4" s="6" t="s">
        <v>357</v>
      </c>
      <c r="E4" s="6" t="s">
        <v>358</v>
      </c>
      <c r="F4" s="6" t="s">
        <v>359</v>
      </c>
      <c r="G4" s="6" t="s">
        <v>360</v>
      </c>
      <c r="H4" s="6" t="s">
        <v>361</v>
      </c>
      <c r="I4" s="6" t="s">
        <v>362</v>
      </c>
      <c r="J4" s="6" t="s">
        <v>363</v>
      </c>
    </row>
    <row r="5" customFormat="false" ht="15" hidden="false" customHeight="false" outlineLevel="0" collapsed="false">
      <c r="A5" s="14" t="s">
        <v>364</v>
      </c>
      <c r="B5" s="18" t="n">
        <v>0</v>
      </c>
      <c r="C5" s="18" t="n">
        <v>0</v>
      </c>
      <c r="D5" s="45" t="n">
        <v>0</v>
      </c>
      <c r="E5" s="31" t="n">
        <v>0</v>
      </c>
      <c r="F5" s="41" t="n">
        <v>0</v>
      </c>
      <c r="G5" s="28" t="n">
        <f aca="false">'Cost to Serve'!$B$13</f>
        <v>0.098</v>
      </c>
      <c r="H5" s="46" t="s">
        <v>365</v>
      </c>
      <c r="I5" s="46" t="s">
        <v>365</v>
      </c>
      <c r="J5" s="46" t="s">
        <v>365</v>
      </c>
    </row>
    <row r="6" customFormat="false" ht="15" hidden="false" customHeight="false" outlineLevel="0" collapsed="false">
      <c r="A6" s="14" t="s">
        <v>366</v>
      </c>
      <c r="B6" s="18" t="n">
        <v>15</v>
      </c>
      <c r="C6" s="18" t="n">
        <v>200</v>
      </c>
      <c r="D6" s="45" t="n">
        <f aca="false">C6*52/12</f>
        <v>866.666666666667</v>
      </c>
      <c r="E6" s="31" t="n">
        <f aca="false">D6*Assumptions!$B$49</f>
        <v>7.8</v>
      </c>
      <c r="F6" s="41" t="n">
        <f aca="false">E6*Assumptions!$B$69</f>
        <v>670.8</v>
      </c>
      <c r="G6" s="31" t="n">
        <f aca="false">E6+('Cost to Serve'!$C$13-'Cost to Serve'!$C$6)</f>
        <v>9.671</v>
      </c>
      <c r="H6" s="28" t="n">
        <f aca="false">'B2C Pricing'!$B$10</f>
        <v>19</v>
      </c>
      <c r="I6" s="47" t="n">
        <f aca="false">(H6-G6)/H6</f>
        <v>0.491</v>
      </c>
      <c r="J6" s="48" t="n">
        <f aca="false">'B2C Pricing'!$B$13</f>
        <v>0.830473684210526</v>
      </c>
    </row>
    <row r="7" customFormat="false" ht="15" hidden="false" customHeight="false" outlineLevel="0" collapsed="false">
      <c r="A7" s="14" t="s">
        <v>367</v>
      </c>
      <c r="B7" s="18" t="n">
        <v>10</v>
      </c>
      <c r="C7" s="18" t="n">
        <v>120</v>
      </c>
      <c r="D7" s="45" t="n">
        <f aca="false">C7*52/12</f>
        <v>520</v>
      </c>
      <c r="E7" s="31" t="n">
        <f aca="false">D7*Assumptions!$B$49</f>
        <v>4.68</v>
      </c>
      <c r="F7" s="41" t="n">
        <f aca="false">E7*Assumptions!$B$69</f>
        <v>402.48</v>
      </c>
      <c r="G7" s="31" t="n">
        <f aca="false">E7+('Cost to Serve'!$C$5+'B2C Pricing'!$D$9+Assumptions!$B$75+Assumptions!$B$78+Assumptions!$B$81)</f>
        <v>5.89181860465116</v>
      </c>
      <c r="H7" s="28" t="n">
        <f aca="false">'B2C Pricing'!$D$10</f>
        <v>6.8880567599527</v>
      </c>
      <c r="I7" s="47" t="n">
        <f aca="false">(H7-G7)/H7</f>
        <v>0.144632686695279</v>
      </c>
      <c r="J7" s="48" t="n">
        <f aca="false">'B2C Pricing'!$D$13</f>
        <v>0.532378998569385</v>
      </c>
    </row>
    <row r="8" customFormat="false" ht="15" hidden="false" customHeight="false" outlineLevel="0" collapsed="false">
      <c r="A8" s="14" t="s">
        <v>368</v>
      </c>
      <c r="B8" s="18" t="n">
        <v>40</v>
      </c>
      <c r="C8" s="18" t="n">
        <v>600</v>
      </c>
      <c r="D8" s="45" t="n">
        <f aca="false">C8*52/12</f>
        <v>2600</v>
      </c>
      <c r="E8" s="31" t="n">
        <f aca="false">D8*Assumptions!$B$49</f>
        <v>23.4</v>
      </c>
      <c r="F8" s="41" t="n">
        <f aca="false">E8*Assumptions!$B$69</f>
        <v>2012.4</v>
      </c>
      <c r="G8" s="31" t="n">
        <f aca="false">E8+(2.2)</f>
        <v>25.6</v>
      </c>
      <c r="H8" s="28" t="n">
        <f aca="false">39</f>
        <v>39</v>
      </c>
      <c r="I8" s="47" t="n">
        <f aca="false">(H8-G8)/H8</f>
        <v>0.343589743589744</v>
      </c>
      <c r="J8" s="48" t="n">
        <f aca="false">(H8-(2.2+300*Assumptions!$B$49))/H8</f>
        <v>0.874358974358974</v>
      </c>
    </row>
    <row r="9" customFormat="false" ht="15" hidden="false" customHeight="false" outlineLevel="0" collapsed="false">
      <c r="A9" s="14" t="s">
        <v>369</v>
      </c>
      <c r="B9" s="18" t="n">
        <v>25</v>
      </c>
      <c r="C9" s="18" t="n">
        <v>350</v>
      </c>
      <c r="D9" s="45" t="n">
        <f aca="false">C9*52/12</f>
        <v>1516.66666666667</v>
      </c>
      <c r="E9" s="31" t="n">
        <f aca="false">D9*Assumptions!$B$49</f>
        <v>13.65</v>
      </c>
      <c r="F9" s="41" t="n">
        <f aca="false">E9*Assumptions!$B$69</f>
        <v>1173.9</v>
      </c>
      <c r="G9" s="31" t="n">
        <f aca="false">E9+('Cost to Serve'!$D$13-'Cost to Serve'!$D$6)</f>
        <v>16.85</v>
      </c>
      <c r="H9" s="28" t="n">
        <f aca="false">29</f>
        <v>29</v>
      </c>
      <c r="I9" s="47" t="n">
        <f aca="false">(H9-G9)/H9</f>
        <v>0.418965517241379</v>
      </c>
      <c r="J9" s="48" t="n">
        <f aca="false">(H9-'Cost to Serve'!$D$13)/H9</f>
        <v>0.796551724137931</v>
      </c>
    </row>
    <row r="11" customFormat="false" ht="15" hidden="false" customHeight="false" outlineLevel="0" collapsed="false">
      <c r="A11" s="49" t="s">
        <v>370</v>
      </c>
    </row>
    <row r="12" customFormat="false" ht="15" hidden="false" customHeight="false" outlineLevel="0" collapsed="false">
      <c r="A12" s="6" t="s">
        <v>371</v>
      </c>
      <c r="B12" s="6" t="s">
        <v>372</v>
      </c>
      <c r="C12" s="6"/>
      <c r="D12" s="6"/>
      <c r="E12" s="6" t="s">
        <v>373</v>
      </c>
      <c r="F12" s="6" t="s">
        <v>374</v>
      </c>
      <c r="G12" s="6" t="s">
        <v>375</v>
      </c>
      <c r="H12" s="6" t="s">
        <v>361</v>
      </c>
      <c r="I12" s="6" t="s">
        <v>376</v>
      </c>
      <c r="J12" s="6"/>
    </row>
    <row r="13" customFormat="false" ht="15" hidden="false" customHeight="false" outlineLevel="0" collapsed="false">
      <c r="A13" s="50" t="s">
        <v>377</v>
      </c>
      <c r="B13" s="51" t="n">
        <f aca="false">50*30</f>
        <v>1500</v>
      </c>
      <c r="E13" s="52" t="n">
        <f aca="false">B13*Assumptions!$B$49</f>
        <v>13.5</v>
      </c>
      <c r="F13" s="53" t="n">
        <f aca="false">E13*Assumptions!$B$69</f>
        <v>1161</v>
      </c>
      <c r="G13" s="52" t="n">
        <f aca="false">E13+('Cost to Serve'!$C$5+'B2C Pricing'!$D$9+Assumptions!$B$75+Assumptions!$B$78+Assumptions!$B$81)</f>
        <v>14.7118186046512</v>
      </c>
      <c r="H13" s="54" t="n">
        <f aca="false">'B2C Pricing'!$D$10</f>
        <v>6.8880567599527</v>
      </c>
      <c r="I13" s="55" t="n">
        <f aca="false">(H13-G13)/H13</f>
        <v>-1.13584456652361</v>
      </c>
    </row>
    <row r="15" customFormat="false" ht="15" hidden="false" customHeight="false" outlineLevel="0" collapsed="false">
      <c r="A15" s="36" t="s">
        <v>378</v>
      </c>
    </row>
    <row r="16" customFormat="false" ht="15" hidden="false" customHeight="false" outlineLevel="0" collapsed="false">
      <c r="A16" s="35" t="s">
        <v>379</v>
      </c>
    </row>
    <row r="18" customFormat="false" ht="15" hidden="false" customHeight="false" outlineLevel="0" collapsed="false">
      <c r="A18" s="56" t="s">
        <v>380</v>
      </c>
    </row>
    <row r="19" customFormat="false" ht="15" hidden="false" customHeight="false" outlineLevel="0" collapsed="false">
      <c r="A19" s="6" t="s">
        <v>354</v>
      </c>
      <c r="B19" s="6" t="s">
        <v>381</v>
      </c>
      <c r="C19" s="6" t="s">
        <v>382</v>
      </c>
      <c r="D19" s="6" t="s">
        <v>383</v>
      </c>
      <c r="E19" s="6" t="s">
        <v>384</v>
      </c>
      <c r="F19" s="6" t="s">
        <v>385</v>
      </c>
      <c r="G19" s="6" t="s">
        <v>386</v>
      </c>
      <c r="H19" s="6" t="s">
        <v>372</v>
      </c>
      <c r="I19" s="6" t="s">
        <v>270</v>
      </c>
      <c r="J19" s="6" t="s">
        <v>327</v>
      </c>
    </row>
    <row r="20" customFormat="false" ht="15" hidden="false" customHeight="false" outlineLevel="0" collapsed="false">
      <c r="A20" s="14" t="s">
        <v>387</v>
      </c>
      <c r="B20" s="57" t="n">
        <f aca="false">C6/7</f>
        <v>28.5714285714286</v>
      </c>
      <c r="C20" s="31" t="n">
        <f aca="false">B20*Assumptions!$B$49</f>
        <v>0.257142857142857</v>
      </c>
      <c r="D20" s="41" t="n">
        <f aca="false">C20*Assumptions!$B$69</f>
        <v>22.1142857142857</v>
      </c>
      <c r="E20" s="58" t="n">
        <f aca="false">C6</f>
        <v>200</v>
      </c>
      <c r="F20" s="31" t="n">
        <f aca="false">E20*Assumptions!$B$49</f>
        <v>1.8</v>
      </c>
      <c r="G20" s="41" t="n">
        <f aca="false">F20*Assumptions!$B$69</f>
        <v>154.8</v>
      </c>
      <c r="H20" s="45" t="n">
        <f aca="false">C6*52/12</f>
        <v>866.666666666667</v>
      </c>
      <c r="I20" s="30" t="n">
        <f aca="false">H20*Assumptions!$B$49</f>
        <v>7.8</v>
      </c>
      <c r="J20" s="59" t="n">
        <f aca="false">I20*Assumptions!$B$69</f>
        <v>670.8</v>
      </c>
    </row>
    <row r="21" customFormat="false" ht="15" hidden="false" customHeight="false" outlineLevel="0" collapsed="false">
      <c r="A21" s="14" t="s">
        <v>388</v>
      </c>
      <c r="B21" s="57" t="n">
        <f aca="false">C7/7</f>
        <v>17.1428571428571</v>
      </c>
      <c r="C21" s="31" t="n">
        <f aca="false">B21*Assumptions!$B$49</f>
        <v>0.154285714285714</v>
      </c>
      <c r="D21" s="41" t="n">
        <f aca="false">C21*Assumptions!$B$69</f>
        <v>13.2685714285714</v>
      </c>
      <c r="E21" s="58" t="n">
        <f aca="false">C7</f>
        <v>120</v>
      </c>
      <c r="F21" s="31" t="n">
        <f aca="false">E21*Assumptions!$B$49</f>
        <v>1.08</v>
      </c>
      <c r="G21" s="41" t="n">
        <f aca="false">F21*Assumptions!$B$69</f>
        <v>92.88</v>
      </c>
      <c r="H21" s="45" t="n">
        <f aca="false">C7*52/12</f>
        <v>520</v>
      </c>
      <c r="I21" s="30" t="n">
        <f aca="false">H21*Assumptions!$B$49</f>
        <v>4.68</v>
      </c>
      <c r="J21" s="59" t="n">
        <f aca="false">I21*Assumptions!$B$69</f>
        <v>402.48</v>
      </c>
    </row>
    <row r="22" customFormat="false" ht="15" hidden="false" customHeight="false" outlineLevel="0" collapsed="false">
      <c r="A22" s="14" t="s">
        <v>389</v>
      </c>
      <c r="B22" s="57" t="n">
        <f aca="false">C8/7</f>
        <v>85.7142857142857</v>
      </c>
      <c r="C22" s="31" t="n">
        <f aca="false">B22*Assumptions!$B$49</f>
        <v>0.771428571428571</v>
      </c>
      <c r="D22" s="41" t="n">
        <f aca="false">C22*Assumptions!$B$69</f>
        <v>66.3428571428571</v>
      </c>
      <c r="E22" s="58" t="n">
        <f aca="false">C8</f>
        <v>600</v>
      </c>
      <c r="F22" s="31" t="n">
        <f aca="false">E22*Assumptions!$B$49</f>
        <v>5.4</v>
      </c>
      <c r="G22" s="41" t="n">
        <f aca="false">F22*Assumptions!$B$69</f>
        <v>464.4</v>
      </c>
      <c r="H22" s="45" t="n">
        <f aca="false">C8*52/12</f>
        <v>2600</v>
      </c>
      <c r="I22" s="30" t="n">
        <f aca="false">H22*Assumptions!$B$49</f>
        <v>23.4</v>
      </c>
      <c r="J22" s="59" t="n">
        <f aca="false">I22*Assumptions!$B$69</f>
        <v>2012.4</v>
      </c>
    </row>
    <row r="23" customFormat="false" ht="15" hidden="false" customHeight="false" outlineLevel="0" collapsed="false">
      <c r="A23" s="14" t="s">
        <v>295</v>
      </c>
      <c r="B23" s="57" t="n">
        <f aca="false">C9/7</f>
        <v>50</v>
      </c>
      <c r="C23" s="31" t="n">
        <f aca="false">B23*Assumptions!$B$49</f>
        <v>0.45</v>
      </c>
      <c r="D23" s="41" t="n">
        <f aca="false">C23*Assumptions!$B$69</f>
        <v>38.7</v>
      </c>
      <c r="E23" s="58" t="n">
        <f aca="false">C9</f>
        <v>350</v>
      </c>
      <c r="F23" s="31" t="n">
        <f aca="false">E23*Assumptions!$B$49</f>
        <v>3.15</v>
      </c>
      <c r="G23" s="41" t="n">
        <f aca="false">F23*Assumptions!$B$69</f>
        <v>270.9</v>
      </c>
      <c r="H23" s="45" t="n">
        <f aca="false">C9*52/12</f>
        <v>1516.66666666667</v>
      </c>
      <c r="I23" s="30" t="n">
        <f aca="false">H23*Assumptions!$B$49</f>
        <v>13.65</v>
      </c>
      <c r="J23" s="59" t="n">
        <f aca="false">I23*Assumptions!$B$69</f>
        <v>1173.9</v>
      </c>
    </row>
    <row r="25" customFormat="false" ht="55.5" hidden="false" customHeight="true" outlineLevel="0" collapsed="false">
      <c r="A25" s="38" t="s">
        <v>390</v>
      </c>
      <c r="B25" s="38"/>
      <c r="C25" s="38"/>
      <c r="D25" s="38"/>
      <c r="E25" s="38"/>
      <c r="F25" s="38"/>
      <c r="G25" s="38"/>
      <c r="H25" s="38"/>
      <c r="I25" s="38"/>
      <c r="J25" s="38"/>
    </row>
  </sheetData>
  <mergeCells count="1">
    <mergeCell ref="A25:J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4" min="2" style="0" width="15"/>
  </cols>
  <sheetData>
    <row r="1" customFormat="false" ht="18.55" hidden="false" customHeight="false" outlineLevel="0" collapsed="false">
      <c r="A1" s="1" t="s">
        <v>391</v>
      </c>
    </row>
    <row r="2" customFormat="false" ht="15" hidden="false" customHeight="false" outlineLevel="0" collapsed="false">
      <c r="A2" s="2" t="s">
        <v>392</v>
      </c>
    </row>
    <row r="4" customFormat="false" ht="15" hidden="false" customHeight="false" outlineLevel="0" collapsed="false">
      <c r="A4" s="6" t="s">
        <v>393</v>
      </c>
      <c r="B4" s="6" t="s">
        <v>394</v>
      </c>
      <c r="C4" s="6" t="s">
        <v>395</v>
      </c>
      <c r="D4" s="6" t="s">
        <v>396</v>
      </c>
    </row>
    <row r="5" customFormat="false" ht="15" hidden="false" customHeight="false" outlineLevel="0" collapsed="false">
      <c r="A5" s="14" t="s">
        <v>397</v>
      </c>
      <c r="B5" s="25" t="n">
        <v>19</v>
      </c>
      <c r="C5" s="26" t="n">
        <v>15</v>
      </c>
      <c r="D5" s="60" t="n">
        <v>699</v>
      </c>
    </row>
    <row r="6" customFormat="false" ht="15" hidden="false" customHeight="false" outlineLevel="0" collapsed="false">
      <c r="A6" s="14" t="s">
        <v>398</v>
      </c>
      <c r="B6" s="61" t="s">
        <v>399</v>
      </c>
      <c r="C6" s="61" t="s">
        <v>400</v>
      </c>
      <c r="D6" s="61" t="s">
        <v>401</v>
      </c>
    </row>
    <row r="7" customFormat="false" ht="15" hidden="false" customHeight="false" outlineLevel="0" collapsed="false">
      <c r="A7" s="14" t="s">
        <v>402</v>
      </c>
      <c r="B7" s="31" t="n">
        <f aca="false">B5</f>
        <v>19</v>
      </c>
      <c r="C7" s="28" t="n">
        <f aca="false">C5*Assumptions!$B$70</f>
        <v>19.05</v>
      </c>
      <c r="D7" s="28" t="n">
        <f aca="false">D5/Assumptions!$B$69</f>
        <v>8.12790697674419</v>
      </c>
    </row>
    <row r="8" customFormat="false" ht="15" hidden="false" customHeight="false" outlineLevel="0" collapsed="false">
      <c r="A8" s="14" t="s">
        <v>403</v>
      </c>
      <c r="B8" s="31" t="n">
        <f aca="false">B7</f>
        <v>19</v>
      </c>
      <c r="C8" s="28" t="n">
        <f aca="false">C7/(1+Assumptions!$B$68)</f>
        <v>15.875</v>
      </c>
      <c r="D8" s="28" t="n">
        <f aca="false">D7/(1+Assumptions!$B$67)</f>
        <v>6.8880567599527</v>
      </c>
    </row>
    <row r="9" customFormat="false" ht="15" hidden="false" customHeight="false" outlineLevel="0" collapsed="false">
      <c r="A9" s="14" t="s">
        <v>404</v>
      </c>
      <c r="B9" s="28" t="n">
        <f aca="false">B7*Assumptions!$B$62+Assumptions!$B$63</f>
        <v>0.851</v>
      </c>
      <c r="C9" s="28" t="n">
        <f aca="false">C7*Assumptions!$B$64+Assumptions!$B$65*Assumptions!$B$70</f>
        <v>0.53975</v>
      </c>
      <c r="D9" s="28" t="n">
        <f aca="false">D7*Assumptions!$B$66</f>
        <v>0.191818604651163</v>
      </c>
    </row>
    <row r="10" customFormat="false" ht="15" hidden="false" customHeight="false" outlineLevel="0" collapsed="false">
      <c r="A10" s="29" t="s">
        <v>405</v>
      </c>
      <c r="B10" s="30" t="n">
        <f aca="false">B8</f>
        <v>19</v>
      </c>
      <c r="C10" s="30" t="n">
        <f aca="false">C8</f>
        <v>15.875</v>
      </c>
      <c r="D10" s="30" t="n">
        <f aca="false">D8</f>
        <v>6.8880567599527</v>
      </c>
    </row>
    <row r="11" customFormat="false" ht="15" hidden="false" customHeight="false" outlineLevel="0" collapsed="false">
      <c r="A11" s="14" t="s">
        <v>406</v>
      </c>
      <c r="B11" s="28" t="n">
        <f aca="false">'Cost to Serve'!$C$13</f>
        <v>3.221</v>
      </c>
      <c r="C11" s="28" t="n">
        <f aca="false">'Cost to Serve'!$C$13</f>
        <v>3.221</v>
      </c>
      <c r="D11" s="28" t="n">
        <f aca="false">'Cost to Serve'!$C$13</f>
        <v>3.221</v>
      </c>
    </row>
    <row r="12" customFormat="false" ht="15" hidden="false" customHeight="false" outlineLevel="0" collapsed="false">
      <c r="A12" s="22" t="s">
        <v>407</v>
      </c>
      <c r="B12" s="62" t="n">
        <f aca="false">B10-B11</f>
        <v>15.779</v>
      </c>
      <c r="C12" s="62" t="n">
        <f aca="false">C10-C11</f>
        <v>12.654</v>
      </c>
      <c r="D12" s="62" t="n">
        <f aca="false">D10-D11</f>
        <v>3.6670567599527</v>
      </c>
    </row>
    <row r="13" customFormat="false" ht="15" hidden="false" customHeight="false" outlineLevel="0" collapsed="false">
      <c r="A13" s="15" t="s">
        <v>408</v>
      </c>
      <c r="B13" s="63" t="n">
        <f aca="false">B12/B10</f>
        <v>0.830473684210526</v>
      </c>
      <c r="C13" s="63" t="n">
        <f aca="false">C12/C10</f>
        <v>0.797102362204724</v>
      </c>
      <c r="D13" s="63" t="n">
        <f aca="false">D12/D10</f>
        <v>0.532378998569385</v>
      </c>
    </row>
    <row r="16" customFormat="false" ht="15" hidden="false" customHeight="false" outlineLevel="0" collapsed="false">
      <c r="A16" s="56" t="s">
        <v>409</v>
      </c>
    </row>
    <row r="17" customFormat="false" ht="15" hidden="false" customHeight="false" outlineLevel="0" collapsed="false">
      <c r="A17" s="2" t="s">
        <v>410</v>
      </c>
    </row>
    <row r="18" customFormat="false" ht="15" hidden="false" customHeight="false" outlineLevel="0" collapsed="false">
      <c r="A18" s="6" t="s">
        <v>411</v>
      </c>
      <c r="B18" s="6" t="s">
        <v>412</v>
      </c>
      <c r="C18" s="6" t="s">
        <v>413</v>
      </c>
      <c r="D18" s="6" t="s">
        <v>414</v>
      </c>
    </row>
    <row r="19" customFormat="false" ht="15" hidden="false" customHeight="false" outlineLevel="0" collapsed="false">
      <c r="A19" s="60" t="n">
        <v>899</v>
      </c>
      <c r="B19" s="28" t="n">
        <f aca="false">(A19/Assumptions!$B$69)/(1+Assumptions!$B$67)</f>
        <v>8.85888845092629</v>
      </c>
      <c r="C19" s="28" t="n">
        <f aca="false">B19-'Cost to Serve'!$C$13</f>
        <v>5.63788845092629</v>
      </c>
      <c r="D19" s="64" t="n">
        <f aca="false">C19/B19</f>
        <v>0.636410367074527</v>
      </c>
    </row>
    <row r="20" customFormat="false" ht="15" hidden="false" customHeight="false" outlineLevel="0" collapsed="false">
      <c r="A20" s="60" t="n">
        <v>699</v>
      </c>
      <c r="B20" s="28" t="n">
        <f aca="false">(A20/Assumptions!$B$69)/(1+Assumptions!$B$67)</f>
        <v>6.8880567599527</v>
      </c>
      <c r="C20" s="28" t="n">
        <f aca="false">B20-'Cost to Serve'!$C$13</f>
        <v>3.6670567599527</v>
      </c>
      <c r="D20" s="64" t="n">
        <f aca="false">C20/B20</f>
        <v>0.532378998569385</v>
      </c>
    </row>
    <row r="21" customFormat="false" ht="15" hidden="false" customHeight="false" outlineLevel="0" collapsed="false">
      <c r="A21" s="60" t="n">
        <v>499</v>
      </c>
      <c r="B21" s="28" t="n">
        <f aca="false">(A21/Assumptions!$B$69)/(1+Assumptions!$B$67)</f>
        <v>4.91722506897911</v>
      </c>
      <c r="C21" s="28" t="n">
        <f aca="false">B21-'Cost to Serve'!$C$13</f>
        <v>1.69622506897911</v>
      </c>
      <c r="D21" s="64" t="n">
        <f aca="false">C21/B21</f>
        <v>0.344955751503006</v>
      </c>
    </row>
    <row r="22" customFormat="false" ht="15" hidden="false" customHeight="false" outlineLevel="0" collapsed="false">
      <c r="A22" s="60" t="n">
        <v>399</v>
      </c>
      <c r="B22" s="28" t="n">
        <f aca="false">(A22/Assumptions!$B$69)/(1+Assumptions!$B$67)</f>
        <v>3.93180922349231</v>
      </c>
      <c r="C22" s="28" t="n">
        <f aca="false">B22-'Cost to Serve'!$C$13</f>
        <v>0.710809223492314</v>
      </c>
      <c r="D22" s="64" t="n">
        <f aca="false">C22/B22</f>
        <v>0.180784260651629</v>
      </c>
    </row>
    <row r="23" customFormat="false" ht="15" hidden="false" customHeight="false" outlineLevel="0" collapsed="false">
      <c r="A23" s="60" t="n">
        <v>350</v>
      </c>
      <c r="B23" s="28" t="n">
        <f aca="false">(A23/Assumptions!$B$69)/(1+Assumptions!$B$67)</f>
        <v>3.44895545920378</v>
      </c>
      <c r="C23" s="28" t="n">
        <f aca="false">B23-'Cost to Serve'!$C$13</f>
        <v>0.227955459203784</v>
      </c>
      <c r="D23" s="64" t="n">
        <f aca="false">C23/B23</f>
        <v>0.0660940571428571</v>
      </c>
    </row>
    <row r="24" customFormat="false" ht="15" hidden="false" customHeight="false" outlineLevel="0" collapsed="false">
      <c r="A24" s="60" t="n">
        <v>299</v>
      </c>
      <c r="B24" s="28" t="n">
        <f aca="false">(A24/Assumptions!$B$69)/(1+Assumptions!$B$67)</f>
        <v>2.94639337800552</v>
      </c>
      <c r="C24" s="28" t="n">
        <f aca="false">B24-'Cost to Serve'!$C$13</f>
        <v>-0.274606621994482</v>
      </c>
      <c r="D24" s="64" t="n">
        <f aca="false">C24/B24</f>
        <v>-0.0932009364548495</v>
      </c>
    </row>
    <row r="25" customFormat="false" ht="15" hidden="false" customHeight="false" outlineLevel="0" collapsed="false">
      <c r="A25" s="65" t="s">
        <v>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9"/>
    <col collapsed="false" customWidth="true" hidden="false" outlineLevel="0" max="6" min="6" style="0" width="11"/>
    <col collapsed="false" customWidth="true" hidden="false" outlineLevel="0" max="9" min="7" style="0" width="10"/>
    <col collapsed="false" customWidth="true" hidden="false" outlineLevel="0" max="10" min="10" style="0" width="11"/>
    <col collapsed="false" customWidth="true" hidden="false" outlineLevel="0" max="11" min="11" style="0" width="10"/>
    <col collapsed="false" customWidth="true" hidden="false" outlineLevel="0" max="12" min="12" style="0" width="9"/>
    <col collapsed="false" customWidth="true" hidden="false" outlineLevel="0" max="13" min="13" style="0" width="11"/>
  </cols>
  <sheetData>
    <row r="1" customFormat="false" ht="18.55" hidden="false" customHeight="false" outlineLevel="0" collapsed="false">
      <c r="A1" s="1" t="s">
        <v>416</v>
      </c>
    </row>
    <row r="2" customFormat="false" ht="15" hidden="false" customHeight="false" outlineLevel="0" collapsed="false">
      <c r="A2" s="2" t="s">
        <v>417</v>
      </c>
    </row>
    <row r="4" customFormat="false" ht="15" hidden="false" customHeight="false" outlineLevel="0" collapsed="false">
      <c r="A4" s="6" t="s">
        <v>418</v>
      </c>
      <c r="B4" s="6" t="s">
        <v>354</v>
      </c>
      <c r="C4" s="6" t="s">
        <v>419</v>
      </c>
      <c r="D4" s="6" t="s">
        <v>420</v>
      </c>
      <c r="E4" s="6" t="s">
        <v>421</v>
      </c>
      <c r="F4" s="6" t="s">
        <v>422</v>
      </c>
      <c r="G4" s="6" t="s">
        <v>423</v>
      </c>
      <c r="H4" s="6" t="s">
        <v>424</v>
      </c>
      <c r="I4" s="6" t="s">
        <v>425</v>
      </c>
      <c r="J4" s="6" t="s">
        <v>426</v>
      </c>
      <c r="K4" s="6" t="s">
        <v>427</v>
      </c>
      <c r="L4" s="6" t="s">
        <v>376</v>
      </c>
      <c r="M4" s="6" t="s">
        <v>428</v>
      </c>
    </row>
    <row r="5" customFormat="false" ht="15" hidden="false" customHeight="false" outlineLevel="0" collapsed="false">
      <c r="A5" s="22" t="s">
        <v>429</v>
      </c>
      <c r="B5" s="14" t="s">
        <v>293</v>
      </c>
      <c r="C5" s="18" t="n">
        <v>150</v>
      </c>
      <c r="D5" s="18" t="n">
        <v>0</v>
      </c>
      <c r="E5" s="18" t="n">
        <v>0</v>
      </c>
      <c r="F5" s="45" t="n">
        <f aca="false">MIN(D5,E5)</f>
        <v>0</v>
      </c>
      <c r="G5" s="31" t="n">
        <f aca="false">C5*Assumptions!$B$47+F5*Assumptions!$B$49</f>
        <v>0.03</v>
      </c>
      <c r="H5" s="25" t="n">
        <v>0.07</v>
      </c>
      <c r="I5" s="31" t="n">
        <f aca="false">G5+H5</f>
        <v>0.1</v>
      </c>
      <c r="J5" s="28" t="n">
        <f aca="false">0</f>
        <v>0</v>
      </c>
      <c r="K5" s="31" t="n">
        <f aca="false">J5-I5</f>
        <v>-0.1</v>
      </c>
      <c r="L5" s="66" t="str">
        <f aca="false">IF(J5=0,"n/a",K5/J5)</f>
        <v>n/a</v>
      </c>
      <c r="M5" s="41" t="n">
        <f aca="false">K5*Assumptions!$B$69</f>
        <v>-8.6</v>
      </c>
    </row>
    <row r="6" customFormat="false" ht="15" hidden="false" customHeight="false" outlineLevel="0" collapsed="false">
      <c r="A6" s="22" t="s">
        <v>430</v>
      </c>
      <c r="B6" s="14" t="s">
        <v>431</v>
      </c>
      <c r="C6" s="18" t="n">
        <v>450</v>
      </c>
      <c r="D6" s="18" t="n">
        <v>60</v>
      </c>
      <c r="E6" s="18" t="n">
        <v>867</v>
      </c>
      <c r="F6" s="45" t="n">
        <f aca="false">MIN(D6,E6)</f>
        <v>60</v>
      </c>
      <c r="G6" s="31" t="n">
        <f aca="false">C6*Assumptions!$B$48+F6*Assumptions!$B$49</f>
        <v>0.675</v>
      </c>
      <c r="H6" s="25" t="n">
        <v>1.6</v>
      </c>
      <c r="I6" s="31" t="n">
        <f aca="false">G6+H6</f>
        <v>2.275</v>
      </c>
      <c r="J6" s="28" t="n">
        <f aca="false">'B2C Pricing'!$B$10</f>
        <v>19</v>
      </c>
      <c r="K6" s="31" t="n">
        <f aca="false">J6-I6</f>
        <v>16.725</v>
      </c>
      <c r="L6" s="66" t="n">
        <f aca="false">IF(J6=0,"n/a",K6/J6)</f>
        <v>0.880263157894737</v>
      </c>
      <c r="M6" s="41" t="n">
        <f aca="false">K6*Assumptions!$B$69</f>
        <v>1438.35</v>
      </c>
    </row>
    <row r="7" customFormat="false" ht="15" hidden="false" customHeight="false" outlineLevel="0" collapsed="false">
      <c r="A7" s="67" t="s">
        <v>432</v>
      </c>
      <c r="B7" s="68" t="s">
        <v>431</v>
      </c>
      <c r="C7" s="69" t="n">
        <v>900</v>
      </c>
      <c r="D7" s="69" t="n">
        <v>150</v>
      </c>
      <c r="E7" s="69" t="n">
        <v>867</v>
      </c>
      <c r="F7" s="70" t="n">
        <f aca="false">MIN(D7,E7)</f>
        <v>150</v>
      </c>
      <c r="G7" s="71" t="n">
        <f aca="false">C7*Assumptions!$B$48+F7*Assumptions!$B$49</f>
        <v>1.62</v>
      </c>
      <c r="H7" s="72" t="n">
        <v>1.6</v>
      </c>
      <c r="I7" s="71" t="n">
        <f aca="false">G7+H7</f>
        <v>3.22</v>
      </c>
      <c r="J7" s="73" t="n">
        <f aca="false">'B2C Pricing'!$B$10</f>
        <v>19</v>
      </c>
      <c r="K7" s="71" t="n">
        <f aca="false">J7-I7</f>
        <v>15.78</v>
      </c>
      <c r="L7" s="74" t="n">
        <f aca="false">IF(J7=0,"n/a",K7/J7)</f>
        <v>0.830526315789474</v>
      </c>
      <c r="M7" s="75" t="n">
        <f aca="false">K7*Assumptions!$B$69</f>
        <v>1357.08</v>
      </c>
    </row>
    <row r="8" customFormat="false" ht="15" hidden="false" customHeight="false" outlineLevel="0" collapsed="false">
      <c r="A8" s="22" t="s">
        <v>433</v>
      </c>
      <c r="B8" s="14" t="s">
        <v>388</v>
      </c>
      <c r="C8" s="18" t="n">
        <v>900</v>
      </c>
      <c r="D8" s="18" t="n">
        <v>150</v>
      </c>
      <c r="E8" s="18" t="n">
        <v>520</v>
      </c>
      <c r="F8" s="45" t="n">
        <f aca="false">MIN(D8,E8)</f>
        <v>150</v>
      </c>
      <c r="G8" s="31" t="n">
        <f aca="false">C8*Assumptions!$B$48+F8*Assumptions!$B$49</f>
        <v>1.62</v>
      </c>
      <c r="H8" s="25" t="n">
        <v>1.6</v>
      </c>
      <c r="I8" s="31" t="n">
        <f aca="false">G8+H8</f>
        <v>3.22</v>
      </c>
      <c r="J8" s="28" t="n">
        <f aca="false">'B2C Pricing'!$D$10</f>
        <v>6.8880567599527</v>
      </c>
      <c r="K8" s="31" t="n">
        <f aca="false">J8-I8</f>
        <v>3.6680567599527</v>
      </c>
      <c r="L8" s="66" t="n">
        <f aca="false">IF(J8=0,"n/a",K8/J8)</f>
        <v>0.53252417739628</v>
      </c>
      <c r="M8" s="41" t="n">
        <f aca="false">K8*Assumptions!$B$69</f>
        <v>315.452881355932</v>
      </c>
    </row>
    <row r="9" customFormat="false" ht="15" hidden="false" customHeight="false" outlineLevel="0" collapsed="false">
      <c r="A9" s="22" t="s">
        <v>434</v>
      </c>
      <c r="B9" s="14" t="s">
        <v>431</v>
      </c>
      <c r="C9" s="18" t="n">
        <v>1800</v>
      </c>
      <c r="D9" s="18" t="n">
        <v>1200</v>
      </c>
      <c r="E9" s="18" t="n">
        <v>867</v>
      </c>
      <c r="F9" s="45" t="n">
        <f aca="false">MIN(D9,E9)</f>
        <v>867</v>
      </c>
      <c r="G9" s="31" t="n">
        <f aca="false">C9*Assumptions!$B$48+F9*Assumptions!$B$49</f>
        <v>8.343</v>
      </c>
      <c r="H9" s="25" t="n">
        <v>1.6</v>
      </c>
      <c r="I9" s="31" t="n">
        <f aca="false">G9+H9</f>
        <v>9.943</v>
      </c>
      <c r="J9" s="28" t="n">
        <f aca="false">'B2C Pricing'!$B$10</f>
        <v>19</v>
      </c>
      <c r="K9" s="31" t="n">
        <f aca="false">J9-I9</f>
        <v>9.057</v>
      </c>
      <c r="L9" s="66" t="n">
        <f aca="false">IF(J9=0,"n/a",K9/J9)</f>
        <v>0.476684210526316</v>
      </c>
      <c r="M9" s="41" t="n">
        <f aca="false">K9*Assumptions!$B$69</f>
        <v>778.902</v>
      </c>
    </row>
    <row r="10" customFormat="false" ht="15" hidden="false" customHeight="false" outlineLevel="0" collapsed="false">
      <c r="A10" s="22" t="s">
        <v>435</v>
      </c>
      <c r="B10" s="14" t="s">
        <v>389</v>
      </c>
      <c r="C10" s="18" t="n">
        <v>2400</v>
      </c>
      <c r="D10" s="18" t="n">
        <v>900</v>
      </c>
      <c r="E10" s="18" t="n">
        <v>2600</v>
      </c>
      <c r="F10" s="45" t="n">
        <f aca="false">MIN(D10,E10)</f>
        <v>900</v>
      </c>
      <c r="G10" s="31" t="n">
        <f aca="false">C10*Assumptions!$B$48+F10*Assumptions!$B$49</f>
        <v>8.82</v>
      </c>
      <c r="H10" s="25" t="n">
        <v>2.2</v>
      </c>
      <c r="I10" s="31" t="n">
        <f aca="false">G10+H10</f>
        <v>11.02</v>
      </c>
      <c r="J10" s="28" t="n">
        <f aca="false">39</f>
        <v>39</v>
      </c>
      <c r="K10" s="31" t="n">
        <f aca="false">J10-I10</f>
        <v>27.98</v>
      </c>
      <c r="L10" s="66" t="n">
        <f aca="false">IF(J10=0,"n/a",K10/J10)</f>
        <v>0.717435897435897</v>
      </c>
      <c r="M10" s="41" t="n">
        <f aca="false">K10*Assumptions!$B$69</f>
        <v>2406.28</v>
      </c>
    </row>
    <row r="12" customFormat="false" ht="15" hidden="false" customHeight="false" outlineLevel="0" collapsed="false">
      <c r="A12" s="49" t="s">
        <v>436</v>
      </c>
    </row>
    <row r="13" customFormat="false" ht="15" hidden="false" customHeight="false" outlineLevel="0" collapsed="false">
      <c r="A13" s="76" t="s">
        <v>437</v>
      </c>
      <c r="B13" s="50" t="s">
        <v>431</v>
      </c>
      <c r="C13" s="77" t="n">
        <v>1800</v>
      </c>
      <c r="D13" s="77" t="n">
        <v>1200</v>
      </c>
      <c r="E13" s="77" t="n">
        <v>1200</v>
      </c>
      <c r="F13" s="51" t="n">
        <f aca="false">MIN(D13,E13)</f>
        <v>1200</v>
      </c>
      <c r="G13" s="52" t="n">
        <f aca="false">C13*Assumptions!$B$48+F13*Assumptions!$B$49</f>
        <v>11.34</v>
      </c>
      <c r="H13" s="78" t="n">
        <v>1.6</v>
      </c>
      <c r="I13" s="52" t="n">
        <f aca="false">G13+H13</f>
        <v>12.94</v>
      </c>
      <c r="J13" s="54" t="n">
        <f aca="false">'B2C Pricing'!$B$10</f>
        <v>19</v>
      </c>
      <c r="K13" s="52" t="n">
        <f aca="false">J13-I13</f>
        <v>6.06</v>
      </c>
      <c r="L13" s="55" t="n">
        <f aca="false">K13/J13</f>
        <v>0.318947368421053</v>
      </c>
      <c r="M13" s="53" t="n">
        <f aca="false">K13*Assumptions!$B$69</f>
        <v>521.16</v>
      </c>
    </row>
    <row r="15" customFormat="false" ht="15" hidden="false" customHeight="false" outlineLevel="0" collapsed="false">
      <c r="A15" s="36" t="s">
        <v>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3" min="2" style="0" width="16"/>
  </cols>
  <sheetData>
    <row r="1" customFormat="false" ht="18.55" hidden="false" customHeight="false" outlineLevel="0" collapsed="false">
      <c r="A1" s="1" t="s">
        <v>439</v>
      </c>
    </row>
    <row r="2" customFormat="false" ht="15" hidden="false" customHeight="false" outlineLevel="0" collapsed="false">
      <c r="A2" s="2" t="s">
        <v>440</v>
      </c>
    </row>
    <row r="4" customFormat="false" ht="15" hidden="false" customHeight="false" outlineLevel="0" collapsed="false">
      <c r="A4" s="6" t="s">
        <v>393</v>
      </c>
      <c r="B4" s="6" t="s">
        <v>441</v>
      </c>
      <c r="C4" s="6" t="s">
        <v>442</v>
      </c>
    </row>
    <row r="5" customFormat="false" ht="15" hidden="false" customHeight="false" outlineLevel="0" collapsed="false">
      <c r="A5" s="14" t="s">
        <v>443</v>
      </c>
      <c r="B5" s="25" t="n">
        <v>29</v>
      </c>
      <c r="C5" s="25" t="n">
        <v>27</v>
      </c>
    </row>
    <row r="6" customFormat="false" ht="15" hidden="false" customHeight="false" outlineLevel="0" collapsed="false">
      <c r="A6" s="14" t="s">
        <v>444</v>
      </c>
      <c r="B6" s="18" t="n">
        <v>10</v>
      </c>
      <c r="C6" s="18" t="n">
        <v>50</v>
      </c>
    </row>
    <row r="7" customFormat="false" ht="15" hidden="false" customHeight="false" outlineLevel="0" collapsed="false">
      <c r="A7" s="14" t="s">
        <v>445</v>
      </c>
      <c r="B7" s="57" t="n">
        <f aca="false">B6*0.7</f>
        <v>7</v>
      </c>
      <c r="C7" s="57" t="n">
        <f aca="false">C6*0.7</f>
        <v>35</v>
      </c>
    </row>
    <row r="8" customFormat="false" ht="15" hidden="false" customHeight="false" outlineLevel="0" collapsed="false">
      <c r="A8" s="29" t="s">
        <v>446</v>
      </c>
      <c r="B8" s="79" t="n">
        <f aca="false">B5*B6</f>
        <v>290</v>
      </c>
      <c r="C8" s="79" t="n">
        <f aca="false">C5*C6</f>
        <v>1350</v>
      </c>
    </row>
    <row r="9" customFormat="false" ht="15" hidden="false" customHeight="false" outlineLevel="0" collapsed="false">
      <c r="A9" s="14" t="s">
        <v>447</v>
      </c>
      <c r="B9" s="80" t="n">
        <f aca="false">B8*12</f>
        <v>3480</v>
      </c>
      <c r="C9" s="80" t="n">
        <f aca="false">C8*12</f>
        <v>16200</v>
      </c>
    </row>
    <row r="10" customFormat="false" ht="15" hidden="false" customHeight="false" outlineLevel="0" collapsed="false">
      <c r="A10" s="14" t="s">
        <v>448</v>
      </c>
      <c r="B10" s="28" t="n">
        <f aca="false">B7*'Cost to Serve'!$D$7</f>
        <v>22.05</v>
      </c>
      <c r="C10" s="28" t="n">
        <f aca="false">C7*'Cost to Serve'!$D$7</f>
        <v>110.25</v>
      </c>
    </row>
    <row r="11" customFormat="false" ht="15" hidden="false" customHeight="false" outlineLevel="0" collapsed="false">
      <c r="A11" s="14" t="s">
        <v>449</v>
      </c>
      <c r="B11" s="28" t="n">
        <f aca="false">B8*Assumptions!$B$62+Assumptions!$B$63</f>
        <v>8.71</v>
      </c>
      <c r="C11" s="28" t="n">
        <f aca="false">C8*Assumptions!$B$62+Assumptions!$B$63</f>
        <v>39.45</v>
      </c>
    </row>
    <row r="12" customFormat="false" ht="15" hidden="false" customHeight="false" outlineLevel="0" collapsed="false">
      <c r="A12" s="14" t="s">
        <v>300</v>
      </c>
      <c r="B12" s="25" t="n">
        <v>1.5</v>
      </c>
      <c r="C12" s="25" t="n">
        <v>5</v>
      </c>
    </row>
    <row r="13" customFormat="false" ht="15" hidden="false" customHeight="false" outlineLevel="0" collapsed="false">
      <c r="A13" s="14" t="s">
        <v>450</v>
      </c>
      <c r="B13" s="25" t="n">
        <v>15</v>
      </c>
      <c r="C13" s="25" t="n">
        <v>50</v>
      </c>
    </row>
    <row r="14" customFormat="false" ht="15" hidden="false" customHeight="false" outlineLevel="0" collapsed="false">
      <c r="A14" s="14" t="s">
        <v>451</v>
      </c>
      <c r="B14" s="80" t="n">
        <f aca="false">B10+B11+B12+B13</f>
        <v>47.26</v>
      </c>
      <c r="C14" s="80" t="n">
        <f aca="false">C10+C11+C12+C13</f>
        <v>204.7</v>
      </c>
    </row>
    <row r="15" customFormat="false" ht="15" hidden="false" customHeight="false" outlineLevel="0" collapsed="false">
      <c r="A15" s="32" t="s">
        <v>452</v>
      </c>
      <c r="B15" s="81" t="n">
        <f aca="false">B8-B14</f>
        <v>242.74</v>
      </c>
      <c r="C15" s="81" t="n">
        <f aca="false">C8-C14</f>
        <v>1145.3</v>
      </c>
    </row>
    <row r="16" customFormat="false" ht="15" hidden="false" customHeight="false" outlineLevel="0" collapsed="false">
      <c r="A16" s="22" t="s">
        <v>453</v>
      </c>
      <c r="B16" s="66" t="n">
        <f aca="false">B15/B8</f>
        <v>0.837034482758621</v>
      </c>
      <c r="C16" s="66" t="n">
        <f aca="false">C15/C8</f>
        <v>0.84837037037037</v>
      </c>
    </row>
    <row r="17" customFormat="false" ht="15" hidden="false" customHeight="false" outlineLevel="0" collapsed="false">
      <c r="A17" s="14" t="s">
        <v>454</v>
      </c>
      <c r="B17" s="48" t="n">
        <f aca="false">Assumptions!$B$98</f>
        <v>0.025</v>
      </c>
      <c r="C17" s="48" t="n">
        <f aca="false">Assumptions!$B$98</f>
        <v>0.025</v>
      </c>
    </row>
    <row r="18" customFormat="false" ht="15" hidden="false" customHeight="false" outlineLevel="0" collapsed="false">
      <c r="A18" s="15" t="s">
        <v>455</v>
      </c>
      <c r="B18" s="42" t="n">
        <f aca="false">B15/B17</f>
        <v>9709.6</v>
      </c>
      <c r="C18" s="42" t="n">
        <f aca="false">C15/C17</f>
        <v>45812</v>
      </c>
    </row>
    <row r="19" customFormat="false" ht="15" hidden="false" customHeight="false" outlineLevel="0" collapsed="false">
      <c r="A19" s="14" t="s">
        <v>456</v>
      </c>
      <c r="B19" s="80" t="n">
        <f aca="false">(B15/B6)/B17</f>
        <v>970.96</v>
      </c>
      <c r="C19" s="80" t="n">
        <f aca="false">(C15/C6)/C17</f>
        <v>916.24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8"/>
    <col collapsed="false" customWidth="true" hidden="false" outlineLevel="0" max="3" min="3" style="0" width="9"/>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8" min="7" style="0" width="10"/>
    <col collapsed="false" customWidth="true" hidden="false" outlineLevel="0" max="10" min="9" style="0" width="9"/>
    <col collapsed="false" customWidth="true" hidden="false" outlineLevel="0" max="11" min="11" style="0" width="10"/>
    <col collapsed="false" customWidth="true" hidden="false" outlineLevel="0" max="12" min="12" style="0" width="12"/>
    <col collapsed="false" customWidth="true" hidden="false" outlineLevel="0" max="13" min="13" style="0" width="9"/>
    <col collapsed="false" customWidth="true" hidden="false" outlineLevel="0" max="15" min="14" style="0" width="12"/>
  </cols>
  <sheetData>
    <row r="1" customFormat="false" ht="18.55" hidden="false" customHeight="false" outlineLevel="0" collapsed="false">
      <c r="A1" s="1" t="s">
        <v>457</v>
      </c>
    </row>
    <row r="2" customFormat="false" ht="15" hidden="false" customHeight="false" outlineLevel="0" collapsed="false">
      <c r="A2" s="2" t="s">
        <v>458</v>
      </c>
    </row>
    <row r="4" customFormat="false" ht="22.35" hidden="false" customHeight="false" outlineLevel="0" collapsed="false">
      <c r="A4" s="6" t="s">
        <v>459</v>
      </c>
      <c r="B4" s="6" t="s">
        <v>444</v>
      </c>
      <c r="C4" s="6" t="s">
        <v>460</v>
      </c>
      <c r="D4" s="6" t="s">
        <v>461</v>
      </c>
      <c r="E4" s="6" t="s">
        <v>462</v>
      </c>
      <c r="F4" s="6" t="s">
        <v>463</v>
      </c>
      <c r="G4" s="6" t="s">
        <v>373</v>
      </c>
      <c r="H4" s="6" t="s">
        <v>464</v>
      </c>
      <c r="I4" s="6" t="s">
        <v>465</v>
      </c>
      <c r="J4" s="6" t="s">
        <v>466</v>
      </c>
      <c r="K4" s="6" t="s">
        <v>467</v>
      </c>
      <c r="L4" s="6" t="s">
        <v>468</v>
      </c>
      <c r="M4" s="6" t="s">
        <v>376</v>
      </c>
      <c r="N4" s="6" t="s">
        <v>469</v>
      </c>
      <c r="O4" s="6" t="s">
        <v>470</v>
      </c>
    </row>
    <row r="5" customFormat="false" ht="15" hidden="false" customHeight="false" outlineLevel="0" collapsed="false">
      <c r="A5" s="22" t="s">
        <v>471</v>
      </c>
      <c r="B5" s="18" t="n">
        <v>3</v>
      </c>
      <c r="C5" s="25" t="n">
        <v>34</v>
      </c>
      <c r="D5" s="80" t="n">
        <f aca="false">B5*C5</f>
        <v>102</v>
      </c>
      <c r="E5" s="41" t="n">
        <f aca="false">D5*Assumptions!$B$69</f>
        <v>8772</v>
      </c>
      <c r="F5" s="57" t="n">
        <f aca="false">B5*0.7</f>
        <v>2.1</v>
      </c>
      <c r="G5" s="28" t="n">
        <f aca="false">F5*'Cost to Serve'!$D$7</f>
        <v>6.615</v>
      </c>
      <c r="H5" s="28" t="n">
        <f aca="false">D5*Assumptions!$B$62+Assumptions!$B$63</f>
        <v>3.258</v>
      </c>
      <c r="I5" s="28" t="n">
        <f aca="false">B5*Assumptions!$B$76</f>
        <v>0.45</v>
      </c>
      <c r="J5" s="25" t="n">
        <v>8</v>
      </c>
      <c r="K5" s="80" t="n">
        <f aca="false">G5+H5+I5+J5</f>
        <v>18.323</v>
      </c>
      <c r="L5" s="82" t="n">
        <f aca="false">D5-K5</f>
        <v>83.677</v>
      </c>
      <c r="M5" s="66" t="n">
        <f aca="false">L5/D5</f>
        <v>0.820362745098039</v>
      </c>
      <c r="N5" s="40" t="n">
        <f aca="false">L5/Assumptions!$B$98</f>
        <v>3347.08</v>
      </c>
      <c r="O5" s="41" t="n">
        <f aca="false">N5*Assumptions!$B$69</f>
        <v>287848.88</v>
      </c>
    </row>
    <row r="6" customFormat="false" ht="15" hidden="false" customHeight="false" outlineLevel="0" collapsed="false">
      <c r="A6" s="22" t="s">
        <v>472</v>
      </c>
      <c r="B6" s="18" t="n">
        <v>5</v>
      </c>
      <c r="C6" s="25" t="n">
        <v>32</v>
      </c>
      <c r="D6" s="80" t="n">
        <f aca="false">B6*C6</f>
        <v>160</v>
      </c>
      <c r="E6" s="41" t="n">
        <f aca="false">D6*Assumptions!$B$69</f>
        <v>13760</v>
      </c>
      <c r="F6" s="57" t="n">
        <f aca="false">B6*0.7</f>
        <v>3.5</v>
      </c>
      <c r="G6" s="28" t="n">
        <f aca="false">F6*'Cost to Serve'!$D$7</f>
        <v>11.025</v>
      </c>
      <c r="H6" s="28" t="n">
        <f aca="false">D6*Assumptions!$B$62+Assumptions!$B$63</f>
        <v>4.94</v>
      </c>
      <c r="I6" s="28" t="n">
        <f aca="false">B6*Assumptions!$B$76</f>
        <v>0.75</v>
      </c>
      <c r="J6" s="25" t="n">
        <v>10</v>
      </c>
      <c r="K6" s="80" t="n">
        <f aca="false">G6+H6+I6+J6</f>
        <v>26.715</v>
      </c>
      <c r="L6" s="82" t="n">
        <f aca="false">D6-K6</f>
        <v>133.285</v>
      </c>
      <c r="M6" s="66" t="n">
        <f aca="false">L6/D6</f>
        <v>0.83303125</v>
      </c>
      <c r="N6" s="40" t="n">
        <f aca="false">L6/Assumptions!$B$98</f>
        <v>5331.4</v>
      </c>
      <c r="O6" s="41" t="n">
        <f aca="false">N6*Assumptions!$B$69</f>
        <v>458500.4</v>
      </c>
    </row>
    <row r="7" customFormat="false" ht="15" hidden="false" customHeight="false" outlineLevel="0" collapsed="false">
      <c r="A7" s="67" t="s">
        <v>473</v>
      </c>
      <c r="B7" s="69" t="n">
        <v>10</v>
      </c>
      <c r="C7" s="72" t="n">
        <v>29</v>
      </c>
      <c r="D7" s="83" t="n">
        <f aca="false">B7*C7</f>
        <v>290</v>
      </c>
      <c r="E7" s="75" t="n">
        <f aca="false">D7*Assumptions!$B$69</f>
        <v>24940</v>
      </c>
      <c r="F7" s="84" t="n">
        <f aca="false">B7*0.7</f>
        <v>7</v>
      </c>
      <c r="G7" s="73" t="n">
        <f aca="false">F7*'Cost to Serve'!$D$7</f>
        <v>22.05</v>
      </c>
      <c r="H7" s="73" t="n">
        <f aca="false">D7*Assumptions!$B$62+Assumptions!$B$63</f>
        <v>8.71</v>
      </c>
      <c r="I7" s="73" t="n">
        <f aca="false">B7*Assumptions!$B$76</f>
        <v>1.5</v>
      </c>
      <c r="J7" s="72" t="n">
        <v>15</v>
      </c>
      <c r="K7" s="83" t="n">
        <f aca="false">G7+H7+I7+J7</f>
        <v>47.26</v>
      </c>
      <c r="L7" s="85" t="n">
        <f aca="false">D7-K7</f>
        <v>242.74</v>
      </c>
      <c r="M7" s="74" t="n">
        <f aca="false">L7/D7</f>
        <v>0.837034482758621</v>
      </c>
      <c r="N7" s="86" t="n">
        <f aca="false">L7/Assumptions!$B$98</f>
        <v>9709.6</v>
      </c>
      <c r="O7" s="75" t="n">
        <f aca="false">N7*Assumptions!$B$69</f>
        <v>835025.6</v>
      </c>
    </row>
    <row r="8" customFormat="false" ht="15" hidden="false" customHeight="false" outlineLevel="0" collapsed="false">
      <c r="A8" s="22" t="s">
        <v>474</v>
      </c>
      <c r="B8" s="18" t="n">
        <v>25</v>
      </c>
      <c r="C8" s="25" t="n">
        <v>28</v>
      </c>
      <c r="D8" s="80" t="n">
        <f aca="false">B8*C8</f>
        <v>700</v>
      </c>
      <c r="E8" s="41" t="n">
        <f aca="false">D8*Assumptions!$B$69</f>
        <v>60200</v>
      </c>
      <c r="F8" s="57" t="n">
        <f aca="false">B8*0.7</f>
        <v>17.5</v>
      </c>
      <c r="G8" s="28" t="n">
        <f aca="false">F8*'Cost to Serve'!$D$7</f>
        <v>55.125</v>
      </c>
      <c r="H8" s="28" t="n">
        <f aca="false">D8*Assumptions!$B$62+Assumptions!$B$63</f>
        <v>20.6</v>
      </c>
      <c r="I8" s="28" t="n">
        <f aca="false">B8*Assumptions!$B$76</f>
        <v>3.75</v>
      </c>
      <c r="J8" s="25" t="n">
        <v>30</v>
      </c>
      <c r="K8" s="80" t="n">
        <f aca="false">G8+H8+I8+J8</f>
        <v>109.475</v>
      </c>
      <c r="L8" s="82" t="n">
        <f aca="false">D8-K8</f>
        <v>590.525</v>
      </c>
      <c r="M8" s="66" t="n">
        <f aca="false">L8/D8</f>
        <v>0.843607142857143</v>
      </c>
      <c r="N8" s="40" t="n">
        <f aca="false">L8/Assumptions!$B$98</f>
        <v>23621</v>
      </c>
      <c r="O8" s="41" t="n">
        <f aca="false">N8*Assumptions!$B$69</f>
        <v>2031406</v>
      </c>
    </row>
    <row r="9" customFormat="false" ht="15" hidden="false" customHeight="false" outlineLevel="0" collapsed="false">
      <c r="A9" s="22" t="s">
        <v>475</v>
      </c>
      <c r="B9" s="18" t="n">
        <v>50</v>
      </c>
      <c r="C9" s="25" t="n">
        <v>27</v>
      </c>
      <c r="D9" s="80" t="n">
        <f aca="false">B9*C9</f>
        <v>1350</v>
      </c>
      <c r="E9" s="41" t="n">
        <f aca="false">D9*Assumptions!$B$69</f>
        <v>116100</v>
      </c>
      <c r="F9" s="57" t="n">
        <f aca="false">B9*0.7</f>
        <v>35</v>
      </c>
      <c r="G9" s="28" t="n">
        <f aca="false">F9*'Cost to Serve'!$D$7</f>
        <v>110.25</v>
      </c>
      <c r="H9" s="28" t="n">
        <f aca="false">D9*Assumptions!$B$62+Assumptions!$B$63</f>
        <v>39.45</v>
      </c>
      <c r="I9" s="28" t="n">
        <f aca="false">B9*Assumptions!$B$76</f>
        <v>7.5</v>
      </c>
      <c r="J9" s="25" t="n">
        <v>50</v>
      </c>
      <c r="K9" s="80" t="n">
        <f aca="false">G9+H9+I9+J9</f>
        <v>207.2</v>
      </c>
      <c r="L9" s="82" t="n">
        <f aca="false">D9-K9</f>
        <v>1142.8</v>
      </c>
      <c r="M9" s="66" t="n">
        <f aca="false">L9/D9</f>
        <v>0.846518518518518</v>
      </c>
      <c r="N9" s="40" t="n">
        <f aca="false">L9/Assumptions!$B$98</f>
        <v>45712</v>
      </c>
      <c r="O9" s="41" t="n">
        <f aca="false">N9*Assumptions!$B$69</f>
        <v>3931232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5"/>
  </cols>
  <sheetData>
    <row r="1" customFormat="false" ht="18.55" hidden="false" customHeight="false" outlineLevel="0" collapsed="false">
      <c r="A1" s="1" t="s">
        <v>476</v>
      </c>
    </row>
    <row r="2" customFormat="false" ht="15" hidden="false" customHeight="false" outlineLevel="0" collapsed="false">
      <c r="A2" s="2" t="s">
        <v>477</v>
      </c>
    </row>
    <row r="4" customFormat="false" ht="15" hidden="false" customHeight="false" outlineLevel="0" collapsed="false">
      <c r="A4" s="6" t="s">
        <v>478</v>
      </c>
      <c r="B4" s="6" t="s">
        <v>133</v>
      </c>
      <c r="C4" s="6" t="s">
        <v>479</v>
      </c>
      <c r="D4" s="6" t="s">
        <v>480</v>
      </c>
    </row>
    <row r="5" customFormat="false" ht="15" hidden="false" customHeight="false" outlineLevel="0" collapsed="false">
      <c r="A5" s="14" t="s">
        <v>481</v>
      </c>
      <c r="B5" s="18" t="n">
        <v>100</v>
      </c>
      <c r="C5" s="18" t="n">
        <v>1000</v>
      </c>
      <c r="D5" s="18" t="n">
        <v>10000</v>
      </c>
    </row>
    <row r="6" customFormat="false" ht="15" hidden="false" customHeight="false" outlineLevel="0" collapsed="false">
      <c r="A6" s="14" t="s">
        <v>482</v>
      </c>
      <c r="B6" s="48" t="n">
        <f aca="false">Assumptions!$B$95</f>
        <v>0.03</v>
      </c>
      <c r="C6" s="48" t="n">
        <f aca="false">Assumptions!$B$95</f>
        <v>0.03</v>
      </c>
      <c r="D6" s="48" t="n">
        <f aca="false">Assumptions!$B$95</f>
        <v>0.03</v>
      </c>
    </row>
    <row r="7" customFormat="false" ht="15" hidden="false" customHeight="false" outlineLevel="0" collapsed="false">
      <c r="A7" s="14" t="s">
        <v>483</v>
      </c>
      <c r="B7" s="45" t="n">
        <f aca="false">B5*(1-B6)</f>
        <v>97</v>
      </c>
      <c r="C7" s="45" t="n">
        <f aca="false">C5*(1-C6)</f>
        <v>970</v>
      </c>
      <c r="D7" s="45" t="n">
        <f aca="false">D5*(1-D6)</f>
        <v>9700</v>
      </c>
    </row>
    <row r="8" customFormat="false" ht="15" hidden="false" customHeight="false" outlineLevel="0" collapsed="false">
      <c r="A8" s="14" t="s">
        <v>484</v>
      </c>
      <c r="B8" s="45" t="n">
        <f aca="false">B5*B6</f>
        <v>3</v>
      </c>
      <c r="C8" s="45" t="n">
        <f aca="false">C5*C6</f>
        <v>30</v>
      </c>
      <c r="D8" s="45" t="n">
        <f aca="false">D5*D6</f>
        <v>300</v>
      </c>
    </row>
    <row r="9" customFormat="false" ht="15" hidden="false" customHeight="false" outlineLevel="0" collapsed="false">
      <c r="A9" s="14" t="s">
        <v>485</v>
      </c>
      <c r="B9" s="25" t="n">
        <v>16.5</v>
      </c>
      <c r="C9" s="25" t="n">
        <v>16.5</v>
      </c>
      <c r="D9" s="25" t="n">
        <v>16.5</v>
      </c>
    </row>
    <row r="10" customFormat="false" ht="15" hidden="false" customHeight="false" outlineLevel="0" collapsed="false">
      <c r="A10" s="14" t="s">
        <v>486</v>
      </c>
      <c r="B10" s="87" t="s">
        <v>487</v>
      </c>
      <c r="C10" s="87" t="s">
        <v>488</v>
      </c>
      <c r="D10" s="87" t="s">
        <v>489</v>
      </c>
    </row>
    <row r="11" customFormat="false" ht="15" hidden="false" customHeight="false" outlineLevel="0" collapsed="false">
      <c r="A11" s="14" t="s">
        <v>490</v>
      </c>
      <c r="B11" s="80" t="n">
        <f aca="false">B8*B9</f>
        <v>49.5</v>
      </c>
      <c r="C11" s="80" t="n">
        <f aca="false">C8*C9</f>
        <v>495</v>
      </c>
      <c r="D11" s="80" t="n">
        <f aca="false">D8*D9</f>
        <v>4950</v>
      </c>
    </row>
    <row r="12" customFormat="false" ht="15" hidden="false" customHeight="false" outlineLevel="0" collapsed="false">
      <c r="A12" s="14" t="s">
        <v>491</v>
      </c>
      <c r="B12" s="27" t="n">
        <v>0</v>
      </c>
      <c r="C12" s="27" t="n">
        <v>840</v>
      </c>
      <c r="D12" s="27" t="n">
        <v>10800</v>
      </c>
    </row>
    <row r="13" customFormat="false" ht="15" hidden="false" customHeight="false" outlineLevel="0" collapsed="false">
      <c r="A13" s="29" t="s">
        <v>492</v>
      </c>
      <c r="B13" s="79" t="n">
        <f aca="false">B11+B12</f>
        <v>49.5</v>
      </c>
      <c r="C13" s="79" t="n">
        <f aca="false">C11+C12</f>
        <v>1335</v>
      </c>
      <c r="D13" s="79" t="n">
        <f aca="false">D11+D12</f>
        <v>15750</v>
      </c>
    </row>
    <row r="14" customFormat="false" ht="15" hidden="false" customHeight="false" outlineLevel="0" collapsed="false">
      <c r="A14" s="14" t="s">
        <v>447</v>
      </c>
      <c r="B14" s="80" t="n">
        <f aca="false">B13*12</f>
        <v>594</v>
      </c>
      <c r="C14" s="80" t="n">
        <f aca="false">C13*12</f>
        <v>16020</v>
      </c>
      <c r="D14" s="80" t="n">
        <f aca="false">D13*12</f>
        <v>189000</v>
      </c>
    </row>
    <row r="15" customFormat="false" ht="15" hidden="false" customHeight="false" outlineLevel="0" collapsed="false">
      <c r="A15" s="14" t="s">
        <v>493</v>
      </c>
      <c r="B15" s="40" t="n">
        <f aca="false">B8*'Cost to Serve'!$C$13</f>
        <v>9.663</v>
      </c>
      <c r="C15" s="40" t="n">
        <f aca="false">C8*'Cost to Serve'!$C$13</f>
        <v>96.63</v>
      </c>
      <c r="D15" s="40" t="n">
        <f aca="false">D8*'Cost to Serve'!$C$13</f>
        <v>966.3</v>
      </c>
    </row>
    <row r="16" customFormat="false" ht="15" hidden="false" customHeight="false" outlineLevel="0" collapsed="false">
      <c r="A16" s="14" t="s">
        <v>494</v>
      </c>
      <c r="B16" s="27" t="n">
        <v>0</v>
      </c>
      <c r="C16" s="27" t="n">
        <v>180</v>
      </c>
      <c r="D16" s="27" t="n">
        <v>1820</v>
      </c>
    </row>
    <row r="17" customFormat="false" ht="15" hidden="false" customHeight="false" outlineLevel="0" collapsed="false">
      <c r="A17" s="14" t="s">
        <v>495</v>
      </c>
      <c r="B17" s="40" t="n">
        <f aca="false">B7*'Cost to Serve'!$B$13</f>
        <v>9.506</v>
      </c>
      <c r="C17" s="40" t="n">
        <f aca="false">C7*'Cost to Serve'!$B$13</f>
        <v>95.06</v>
      </c>
      <c r="D17" s="40" t="n">
        <f aca="false">D7*'Cost to Serve'!$B$13</f>
        <v>950.6</v>
      </c>
    </row>
    <row r="18" customFormat="false" ht="15" hidden="false" customHeight="false" outlineLevel="0" collapsed="false">
      <c r="A18" s="32" t="s">
        <v>496</v>
      </c>
      <c r="B18" s="81" t="n">
        <f aca="false">B13-B15-B16-B17</f>
        <v>30.331</v>
      </c>
      <c r="C18" s="81" t="n">
        <f aca="false">C13-C15-C16-C17</f>
        <v>963.31</v>
      </c>
      <c r="D18" s="81" t="n">
        <f aca="false">D13-D15-D16-D17</f>
        <v>12013.1</v>
      </c>
    </row>
    <row r="19" customFormat="false" ht="15" hidden="false" customHeight="false" outlineLevel="0" collapsed="false">
      <c r="A19" s="22" t="s">
        <v>453</v>
      </c>
      <c r="B19" s="66" t="n">
        <f aca="false">B18/B13</f>
        <v>0.612747474747475</v>
      </c>
      <c r="C19" s="66" t="n">
        <f aca="false">C18/C13</f>
        <v>0.721580524344569</v>
      </c>
      <c r="D19" s="66" t="n">
        <f aca="false">D18/D13</f>
        <v>0.762736507936508</v>
      </c>
    </row>
    <row r="20" customFormat="false" ht="15" hidden="false" customHeight="false" outlineLevel="0" collapsed="false">
      <c r="A20" s="14" t="s">
        <v>497</v>
      </c>
      <c r="B20" s="27" t="n">
        <v>0</v>
      </c>
      <c r="C20" s="27" t="n">
        <v>0</v>
      </c>
      <c r="D20" s="27" t="n">
        <v>1500</v>
      </c>
    </row>
    <row r="21" customFormat="false" ht="15" hidden="false" customHeight="false" outlineLevel="0" collapsed="false">
      <c r="A21" s="14" t="s">
        <v>498</v>
      </c>
      <c r="B21" s="27" t="n">
        <v>110</v>
      </c>
      <c r="C21" s="27" t="n">
        <v>140</v>
      </c>
      <c r="D21" s="27" t="n">
        <v>550</v>
      </c>
    </row>
    <row r="22" customFormat="false" ht="15" hidden="false" customHeight="false" outlineLevel="0" collapsed="false">
      <c r="A22" s="88" t="s">
        <v>499</v>
      </c>
      <c r="B22" s="88" t="n">
        <f aca="false">B18-B20-B21</f>
        <v>-79.669</v>
      </c>
      <c r="C22" s="88" t="n">
        <f aca="false">C18-C20-C21</f>
        <v>823.31</v>
      </c>
      <c r="D22" s="88" t="n">
        <f aca="false">D18-D20-D21</f>
        <v>9963.1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4" min="3" style="0" width="11"/>
    <col collapsed="false" customWidth="true" hidden="false" outlineLevel="0" max="7" min="5" style="0" width="12"/>
    <col collapsed="false" customWidth="true" hidden="false" outlineLevel="0" max="8" min="8" style="0" width="14"/>
    <col collapsed="false" customWidth="true" hidden="false" outlineLevel="0" max="9" min="9" style="0" width="13"/>
  </cols>
  <sheetData>
    <row r="1" customFormat="false" ht="18.55" hidden="false" customHeight="false" outlineLevel="0" collapsed="false">
      <c r="A1" s="1" t="s">
        <v>500</v>
      </c>
    </row>
    <row r="2" customFormat="false" ht="15" hidden="false" customHeight="false" outlineLevel="0" collapsed="false">
      <c r="A2" s="2" t="s">
        <v>501</v>
      </c>
    </row>
    <row r="4" customFormat="false" ht="22.35" hidden="false" customHeight="false" outlineLevel="0" collapsed="false">
      <c r="A4" s="6" t="s">
        <v>502</v>
      </c>
      <c r="B4" s="6" t="s">
        <v>481</v>
      </c>
      <c r="C4" s="6" t="s">
        <v>503</v>
      </c>
      <c r="D4" s="6" t="s">
        <v>504</v>
      </c>
      <c r="E4" s="6" t="s">
        <v>505</v>
      </c>
      <c r="F4" s="6" t="s">
        <v>506</v>
      </c>
      <c r="G4" s="6" t="s">
        <v>507</v>
      </c>
      <c r="H4" s="6" t="s">
        <v>508</v>
      </c>
      <c r="I4" s="6" t="s">
        <v>509</v>
      </c>
    </row>
    <row r="5" customFormat="false" ht="15" hidden="false" customHeight="false" outlineLevel="0" collapsed="false">
      <c r="A5" s="22" t="s">
        <v>510</v>
      </c>
      <c r="B5" s="18" t="n">
        <v>200</v>
      </c>
      <c r="C5" s="45" t="n">
        <f aca="false">B5*Assumptions!$B$95</f>
        <v>6</v>
      </c>
      <c r="D5" s="18" t="n">
        <v>0</v>
      </c>
      <c r="E5" s="40" t="n">
        <f aca="false">C5*'P&amp;L Scenarios'!$B$9</f>
        <v>99</v>
      </c>
      <c r="F5" s="40" t="n">
        <f aca="false">D5*'B2B Model'!$B$8</f>
        <v>0</v>
      </c>
      <c r="G5" s="82" t="n">
        <f aca="false">E5+F5</f>
        <v>99</v>
      </c>
      <c r="H5" s="80" t="n">
        <f aca="false">G5*12</f>
        <v>1188</v>
      </c>
      <c r="I5" s="41" t="n">
        <f aca="false">G5*Assumptions!$B$69</f>
        <v>8514</v>
      </c>
    </row>
    <row r="6" customFormat="false" ht="15" hidden="false" customHeight="false" outlineLevel="0" collapsed="false">
      <c r="A6" s="22" t="s">
        <v>511</v>
      </c>
      <c r="B6" s="18" t="n">
        <v>600</v>
      </c>
      <c r="C6" s="45" t="n">
        <f aca="false">B6*Assumptions!$B$95</f>
        <v>18</v>
      </c>
      <c r="D6" s="18" t="n">
        <v>1</v>
      </c>
      <c r="E6" s="40" t="n">
        <f aca="false">C6*'P&amp;L Scenarios'!$B$9</f>
        <v>297</v>
      </c>
      <c r="F6" s="40" t="n">
        <f aca="false">D6*'B2B Model'!$B$8</f>
        <v>290</v>
      </c>
      <c r="G6" s="82" t="n">
        <f aca="false">E6+F6</f>
        <v>587</v>
      </c>
      <c r="H6" s="80" t="n">
        <f aca="false">G6*12</f>
        <v>7044</v>
      </c>
      <c r="I6" s="41" t="n">
        <f aca="false">G6*Assumptions!$B$69</f>
        <v>50482</v>
      </c>
    </row>
    <row r="7" customFormat="false" ht="15" hidden="false" customHeight="false" outlineLevel="0" collapsed="false">
      <c r="A7" s="22" t="s">
        <v>512</v>
      </c>
      <c r="B7" s="18" t="n">
        <v>1500</v>
      </c>
      <c r="C7" s="45" t="n">
        <f aca="false">B7*Assumptions!$B$95</f>
        <v>45</v>
      </c>
      <c r="D7" s="18" t="n">
        <v>3</v>
      </c>
      <c r="E7" s="40" t="n">
        <f aca="false">C7*'P&amp;L Scenarios'!$B$9</f>
        <v>742.5</v>
      </c>
      <c r="F7" s="40" t="n">
        <f aca="false">D7*'B2B Model'!$B$8</f>
        <v>870</v>
      </c>
      <c r="G7" s="82" t="n">
        <f aca="false">E7+F7</f>
        <v>1612.5</v>
      </c>
      <c r="H7" s="80" t="n">
        <f aca="false">G7*12</f>
        <v>19350</v>
      </c>
      <c r="I7" s="41" t="n">
        <f aca="false">G7*Assumptions!$B$69</f>
        <v>138675</v>
      </c>
    </row>
    <row r="8" customFormat="false" ht="15" hidden="false" customHeight="false" outlineLevel="0" collapsed="false">
      <c r="A8" s="22" t="s">
        <v>513</v>
      </c>
      <c r="B8" s="18" t="n">
        <v>3000</v>
      </c>
      <c r="C8" s="45" t="n">
        <f aca="false">B8*Assumptions!$B$95</f>
        <v>90</v>
      </c>
      <c r="D8" s="18" t="n">
        <v>6</v>
      </c>
      <c r="E8" s="40" t="n">
        <f aca="false">C8*'P&amp;L Scenarios'!$B$9</f>
        <v>1485</v>
      </c>
      <c r="F8" s="40" t="n">
        <f aca="false">D8*'B2B Model'!$B$8</f>
        <v>1740</v>
      </c>
      <c r="G8" s="82" t="n">
        <f aca="false">E8+F8</f>
        <v>3225</v>
      </c>
      <c r="H8" s="80" t="n">
        <f aca="false">G8*12</f>
        <v>38700</v>
      </c>
      <c r="I8" s="41" t="n">
        <f aca="false">G8*Assumptions!$B$69</f>
        <v>277350</v>
      </c>
    </row>
    <row r="9" customFormat="false" ht="15" hidden="false" customHeight="false" outlineLevel="0" collapsed="false">
      <c r="A9" s="22" t="s">
        <v>514</v>
      </c>
      <c r="B9" s="18" t="n">
        <v>6000</v>
      </c>
      <c r="C9" s="45" t="n">
        <f aca="false">B9*Assumptions!$B$95</f>
        <v>180</v>
      </c>
      <c r="D9" s="18" t="n">
        <v>12</v>
      </c>
      <c r="E9" s="40" t="n">
        <f aca="false">C9*'P&amp;L Scenarios'!$B$9</f>
        <v>2970</v>
      </c>
      <c r="F9" s="40" t="n">
        <f aca="false">D9*'B2B Model'!$B$8</f>
        <v>3480</v>
      </c>
      <c r="G9" s="82" t="n">
        <f aca="false">E9+F9</f>
        <v>6450</v>
      </c>
      <c r="H9" s="80" t="n">
        <f aca="false">G9*12</f>
        <v>77400</v>
      </c>
      <c r="I9" s="41" t="n">
        <f aca="false">G9*Assumptions!$B$69</f>
        <v>554700</v>
      </c>
    </row>
    <row r="10" customFormat="false" ht="15" hidden="false" customHeight="false" outlineLevel="0" collapsed="false">
      <c r="A10" s="29" t="s">
        <v>515</v>
      </c>
      <c r="B10" s="89" t="n">
        <v>10000</v>
      </c>
      <c r="C10" s="90" t="n">
        <f aca="false">B10*Assumptions!$B$95</f>
        <v>300</v>
      </c>
      <c r="D10" s="89" t="n">
        <v>20</v>
      </c>
      <c r="E10" s="91" t="n">
        <f aca="false">C10*'P&amp;L Scenarios'!$B$9</f>
        <v>4950</v>
      </c>
      <c r="F10" s="91" t="n">
        <f aca="false">D10*'B2B Model'!$B$8</f>
        <v>5800</v>
      </c>
      <c r="G10" s="79" t="n">
        <f aca="false">E10+F10</f>
        <v>10750</v>
      </c>
      <c r="H10" s="92" t="n">
        <f aca="false">G10*12</f>
        <v>129000</v>
      </c>
      <c r="I10" s="93" t="n">
        <f aca="false">G10*Assumptions!$B$69</f>
        <v>924500</v>
      </c>
    </row>
    <row r="12" customFormat="false" ht="43.5" hidden="false" customHeight="true" outlineLevel="0" collapsed="false">
      <c r="A12" s="44" t="s">
        <v>516</v>
      </c>
      <c r="B12" s="44"/>
      <c r="C12" s="44"/>
      <c r="D12" s="44"/>
      <c r="E12" s="44"/>
      <c r="F12" s="44"/>
      <c r="G12" s="44"/>
      <c r="H12" s="44"/>
      <c r="I12" s="44"/>
    </row>
  </sheetData>
  <mergeCells count="1">
    <mergeCell ref="A12:I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15"/>
  </cols>
  <sheetData>
    <row r="1" customFormat="false" ht="18.55" hidden="false" customHeight="false" outlineLevel="0" collapsed="false">
      <c r="A1" s="1" t="s">
        <v>517</v>
      </c>
    </row>
    <row r="2" customFormat="false" ht="15" hidden="false" customHeight="false" outlineLevel="0" collapsed="false">
      <c r="A2" s="2" t="s">
        <v>518</v>
      </c>
    </row>
    <row r="4" customFormat="false" ht="15" hidden="false" customHeight="false" outlineLevel="0" collapsed="false">
      <c r="A4" s="6" t="s">
        <v>519</v>
      </c>
      <c r="B4" s="6" t="s">
        <v>520</v>
      </c>
      <c r="C4" s="6" t="s">
        <v>521</v>
      </c>
      <c r="D4" s="6" t="s">
        <v>522</v>
      </c>
    </row>
    <row r="5" customFormat="false" ht="15" hidden="false" customHeight="false" outlineLevel="0" collapsed="false">
      <c r="A5" s="14" t="s">
        <v>523</v>
      </c>
      <c r="B5" s="19" t="n">
        <v>0.02</v>
      </c>
      <c r="C5" s="19" t="n">
        <v>0.03</v>
      </c>
      <c r="D5" s="19" t="n">
        <v>0.05</v>
      </c>
    </row>
    <row r="6" customFormat="false" ht="15" hidden="false" customHeight="false" outlineLevel="0" collapsed="false">
      <c r="A6" s="14" t="s">
        <v>524</v>
      </c>
      <c r="B6" s="94" t="n">
        <v>2</v>
      </c>
      <c r="C6" s="94" t="n">
        <v>1</v>
      </c>
      <c r="D6" s="94" t="n">
        <v>0.7</v>
      </c>
    </row>
    <row r="7" customFormat="false" ht="15" hidden="false" customHeight="false" outlineLevel="0" collapsed="false">
      <c r="A7" s="14" t="s">
        <v>525</v>
      </c>
      <c r="B7" s="18" t="n">
        <v>12</v>
      </c>
      <c r="C7" s="18" t="n">
        <v>20</v>
      </c>
      <c r="D7" s="18" t="n">
        <v>30</v>
      </c>
    </row>
    <row r="8" customFormat="false" ht="15" hidden="false" customHeight="false" outlineLevel="0" collapsed="false">
      <c r="A8" s="14" t="s">
        <v>526</v>
      </c>
      <c r="B8" s="18" t="n">
        <v>10000</v>
      </c>
      <c r="C8" s="18" t="n">
        <v>10000</v>
      </c>
      <c r="D8" s="18" t="n">
        <v>10000</v>
      </c>
    </row>
    <row r="10" customFormat="false" ht="15" hidden="false" customHeight="false" outlineLevel="0" collapsed="false">
      <c r="A10" s="14" t="s">
        <v>527</v>
      </c>
      <c r="B10" s="45" t="n">
        <f aca="false">B8*B5</f>
        <v>200</v>
      </c>
      <c r="C10" s="45" t="n">
        <f aca="false">C8*C5</f>
        <v>300</v>
      </c>
      <c r="D10" s="45" t="n">
        <f aca="false">D8*D5</f>
        <v>500</v>
      </c>
    </row>
    <row r="11" customFormat="false" ht="15" hidden="false" customHeight="false" outlineLevel="0" collapsed="false">
      <c r="A11" s="14" t="s">
        <v>505</v>
      </c>
      <c r="B11" s="40" t="n">
        <f aca="false">B10*'P&amp;L Scenarios'!$B$9</f>
        <v>3300</v>
      </c>
      <c r="C11" s="40" t="n">
        <f aca="false">C10*'P&amp;L Scenarios'!$B$9</f>
        <v>4950</v>
      </c>
      <c r="D11" s="40" t="n">
        <f aca="false">D10*'P&amp;L Scenarios'!$B$9</f>
        <v>8250</v>
      </c>
    </row>
    <row r="12" customFormat="false" ht="15" hidden="false" customHeight="false" outlineLevel="0" collapsed="false">
      <c r="A12" s="14" t="s">
        <v>506</v>
      </c>
      <c r="B12" s="40" t="n">
        <f aca="false">B7*'B2B Model'!$B$8</f>
        <v>3480</v>
      </c>
      <c r="C12" s="40" t="n">
        <f aca="false">C7*'B2B Model'!$B$8</f>
        <v>5800</v>
      </c>
      <c r="D12" s="40" t="n">
        <f aca="false">D7*'B2B Model'!$B$8</f>
        <v>8700</v>
      </c>
    </row>
    <row r="13" customFormat="false" ht="15" hidden="false" customHeight="false" outlineLevel="0" collapsed="false">
      <c r="A13" s="22" t="s">
        <v>507</v>
      </c>
      <c r="B13" s="82" t="n">
        <f aca="false">B11+B12</f>
        <v>6780</v>
      </c>
      <c r="C13" s="82" t="n">
        <f aca="false">C11+C12</f>
        <v>10750</v>
      </c>
      <c r="D13" s="82" t="n">
        <f aca="false">D11+D12</f>
        <v>16950</v>
      </c>
    </row>
    <row r="14" customFormat="false" ht="15" hidden="false" customHeight="false" outlineLevel="0" collapsed="false">
      <c r="A14" s="14" t="s">
        <v>528</v>
      </c>
      <c r="B14" s="80" t="n">
        <f aca="false">B10*(1.6+1.8*B6)+B7*(25+24*B6)+(B8-B10)*(0.07+0.05*B6)</f>
        <v>3582</v>
      </c>
      <c r="C14" s="80" t="n">
        <f aca="false">C10*(1.6+1.8*C6)+C7*(25+24*C6)+(C8-C10)*(0.07+0.05*C6)</f>
        <v>3164</v>
      </c>
      <c r="D14" s="80" t="n">
        <f aca="false">D10*(1.6+1.8*D6)+D7*(25+24*D6)+(D8-D10)*(0.07+0.05*D6)</f>
        <v>3681.5</v>
      </c>
    </row>
    <row r="15" customFormat="false" ht="15" hidden="false" customHeight="false" outlineLevel="0" collapsed="false">
      <c r="A15" s="22" t="s">
        <v>529</v>
      </c>
      <c r="B15" s="81" t="n">
        <f aca="false">B13-B14</f>
        <v>3198</v>
      </c>
      <c r="C15" s="81" t="n">
        <f aca="false">C13-C14</f>
        <v>7586</v>
      </c>
      <c r="D15" s="81" t="n">
        <f aca="false">D13-D14</f>
        <v>13268.5</v>
      </c>
    </row>
    <row r="16" customFormat="false" ht="15" hidden="false" customHeight="false" outlineLevel="0" collapsed="false">
      <c r="A16" s="22" t="s">
        <v>530</v>
      </c>
      <c r="B16" s="95" t="n">
        <f aca="false">B15*Assumptions!$B$69</f>
        <v>275028</v>
      </c>
      <c r="C16" s="95" t="n">
        <f aca="false">C15*Assumptions!$B$69</f>
        <v>652396</v>
      </c>
      <c r="D16" s="95" t="n">
        <f aca="false">D15*Assumptions!$B$69</f>
        <v>1141091</v>
      </c>
    </row>
    <row r="18" customFormat="false" ht="15" hidden="false" customHeight="false" outlineLevel="0" collapsed="false">
      <c r="A18" s="96" t="s">
        <v>531</v>
      </c>
      <c r="B18" s="96"/>
      <c r="C18" s="96"/>
      <c r="D18" s="96"/>
    </row>
  </sheetData>
  <mergeCells count="1">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8"/>
    <col collapsed="false" customWidth="true" hidden="false" outlineLevel="0" max="4" min="4" style="0" width="30"/>
  </cols>
  <sheetData>
    <row r="1" customFormat="false" ht="18.55" hidden="false" customHeight="false" outlineLevel="0" collapsed="false">
      <c r="A1" s="1" t="s">
        <v>532</v>
      </c>
    </row>
    <row r="2" customFormat="false" ht="15" hidden="false" customHeight="false" outlineLevel="0" collapsed="false">
      <c r="A2" s="2" t="s">
        <v>533</v>
      </c>
    </row>
    <row r="4" customFormat="false" ht="15" hidden="false" customHeight="false" outlineLevel="0" collapsed="false">
      <c r="A4" s="6" t="s">
        <v>534</v>
      </c>
      <c r="B4" s="6" t="s">
        <v>164</v>
      </c>
      <c r="C4" s="6" t="s">
        <v>535</v>
      </c>
      <c r="D4" s="6" t="s">
        <v>211</v>
      </c>
    </row>
    <row r="5" customFormat="false" ht="15" hidden="false" customHeight="false" outlineLevel="0" collapsed="false">
      <c r="A5" s="14" t="s">
        <v>536</v>
      </c>
      <c r="B5" s="18" t="n">
        <v>10000000</v>
      </c>
      <c r="D5" s="17" t="s">
        <v>537</v>
      </c>
    </row>
    <row r="6" customFormat="false" ht="15" hidden="false" customHeight="false" outlineLevel="0" collapsed="false">
      <c r="A6" s="14" t="s">
        <v>538</v>
      </c>
      <c r="B6" s="27" t="n">
        <v>200</v>
      </c>
      <c r="D6" s="17" t="s">
        <v>539</v>
      </c>
    </row>
    <row r="7" customFormat="false" ht="15" hidden="false" customHeight="false" outlineLevel="0" collapsed="false">
      <c r="A7" s="22" t="s">
        <v>540</v>
      </c>
      <c r="C7" s="79" t="n">
        <f aca="false">B5*B6</f>
        <v>2000000000</v>
      </c>
    </row>
    <row r="9" customFormat="false" ht="15" hidden="false" customHeight="false" outlineLevel="0" collapsed="false">
      <c r="A9" s="14" t="s">
        <v>541</v>
      </c>
      <c r="C9" s="80" t="n">
        <f aca="false">B5*0.005*B6</f>
        <v>10000000</v>
      </c>
      <c r="D9" s="14" t="s">
        <v>542</v>
      </c>
    </row>
    <row r="10" customFormat="false" ht="15" hidden="false" customHeight="false" outlineLevel="0" collapsed="false">
      <c r="A10" s="14" t="s">
        <v>543</v>
      </c>
      <c r="C10" s="80" t="n">
        <f aca="false">B5*0.01*B6</f>
        <v>20000000</v>
      </c>
    </row>
    <row r="12" customFormat="false" ht="15" hidden="false" customHeight="false" outlineLevel="0" collapsed="false">
      <c r="A12" s="97" t="s">
        <v>544</v>
      </c>
      <c r="B12" s="97"/>
      <c r="C12" s="97"/>
      <c r="D12" s="97"/>
    </row>
    <row r="13" customFormat="false" ht="15" hidden="false" customHeight="false" outlineLevel="0" collapsed="false">
      <c r="A13" s="98" t="s">
        <v>545</v>
      </c>
      <c r="B13" s="98"/>
      <c r="C13" s="98"/>
      <c r="D13" s="98"/>
    </row>
  </sheetData>
  <mergeCells count="2">
    <mergeCell ref="A12:D12"/>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46"/>
  </cols>
  <sheetData>
    <row r="1" customFormat="false" ht="18.55" hidden="false" customHeight="false" outlineLevel="0" collapsed="false">
      <c r="A1" s="1" t="s">
        <v>546</v>
      </c>
    </row>
    <row r="2" customFormat="false" ht="15" hidden="false" customHeight="false" outlineLevel="0" collapsed="false">
      <c r="A2" s="2" t="s">
        <v>547</v>
      </c>
    </row>
    <row r="4" customFormat="false" ht="15" hidden="false" customHeight="false" outlineLevel="0" collapsed="false">
      <c r="A4" s="6" t="s">
        <v>393</v>
      </c>
      <c r="B4" s="6" t="s">
        <v>164</v>
      </c>
      <c r="C4" s="6" t="s">
        <v>548</v>
      </c>
    </row>
    <row r="5" customFormat="false" ht="30" hidden="false" customHeight="true" outlineLevel="0" collapsed="false">
      <c r="A5" s="22" t="s">
        <v>549</v>
      </c>
      <c r="B5" s="99" t="n">
        <f aca="false">'P&amp;L Scenarios'!$D$19</f>
        <v>0.762736507936508</v>
      </c>
      <c r="C5" s="9" t="s">
        <v>550</v>
      </c>
    </row>
    <row r="6" customFormat="false" ht="30" hidden="false" customHeight="true" outlineLevel="0" collapsed="false">
      <c r="A6" s="22" t="s">
        <v>551</v>
      </c>
      <c r="B6" s="99" t="n">
        <f aca="false">Assumptions!$B$96</f>
        <v>0.06</v>
      </c>
      <c r="C6" s="9" t="s">
        <v>552</v>
      </c>
    </row>
    <row r="7" customFormat="false" ht="30" hidden="false" customHeight="true" outlineLevel="0" collapsed="false">
      <c r="A7" s="22" t="s">
        <v>553</v>
      </c>
      <c r="B7" s="99" t="n">
        <f aca="false">POWER(1-Assumptions!$B$96,12)</f>
        <v>0.475920314814253</v>
      </c>
      <c r="C7" s="9" t="s">
        <v>554</v>
      </c>
    </row>
    <row r="8" customFormat="false" ht="30" hidden="false" customHeight="true" outlineLevel="0" collapsed="false">
      <c r="A8" s="22" t="s">
        <v>555</v>
      </c>
      <c r="B8" s="99" t="n">
        <f aca="false">POWER(1-Assumptions!$B$97,12)</f>
        <v>0.367666387654882</v>
      </c>
      <c r="C8" s="9" t="s">
        <v>556</v>
      </c>
    </row>
    <row r="9" customFormat="false" ht="30" hidden="false" customHeight="true" outlineLevel="0" collapsed="false">
      <c r="A9" s="22" t="s">
        <v>454</v>
      </c>
      <c r="B9" s="99" t="n">
        <f aca="false">Assumptions!$B$98</f>
        <v>0.025</v>
      </c>
      <c r="C9" s="9" t="s">
        <v>557</v>
      </c>
    </row>
    <row r="10" customFormat="false" ht="30" hidden="false" customHeight="true" outlineLevel="0" collapsed="false">
      <c r="A10" s="22" t="s">
        <v>558</v>
      </c>
      <c r="B10" s="99" t="n">
        <f aca="false">POWER(1-Assumptions!$B$98,12)</f>
        <v>0.737998345826651</v>
      </c>
      <c r="C10" s="9" t="s">
        <v>559</v>
      </c>
    </row>
    <row r="11" customFormat="false" ht="30" hidden="false" customHeight="true" outlineLevel="0" collapsed="false">
      <c r="A11" s="22" t="s">
        <v>560</v>
      </c>
      <c r="B11" s="100" t="n">
        <v>0.25</v>
      </c>
      <c r="C11" s="9" t="s">
        <v>561</v>
      </c>
    </row>
    <row r="12" customFormat="false" ht="30" hidden="false" customHeight="true" outlineLevel="0" collapsed="false">
      <c r="A12" s="22" t="s">
        <v>562</v>
      </c>
      <c r="B12" s="99" t="n">
        <f aca="false">POWER(1-Assumptions!$B$98,12)*(1+B11)</f>
        <v>0.922497932283314</v>
      </c>
      <c r="C12" s="9" t="s">
        <v>563</v>
      </c>
    </row>
    <row r="13" customFormat="false" ht="30" hidden="false" customHeight="true" outlineLevel="0" collapsed="false">
      <c r="A13" s="22" t="s">
        <v>564</v>
      </c>
      <c r="B13" s="99" t="n">
        <f aca="false">POWER(1-Assumptions!$B$96,12)</f>
        <v>0.475920314814253</v>
      </c>
      <c r="C13" s="9" t="s">
        <v>565</v>
      </c>
    </row>
    <row r="14" customFormat="false" ht="30" hidden="false" customHeight="true" outlineLevel="0" collapsed="false">
      <c r="A14" s="22" t="s">
        <v>566</v>
      </c>
      <c r="B14" s="101" t="n">
        <f aca="false">'CAC &amp; LTV'!$G$5</f>
        <v>4.185</v>
      </c>
      <c r="C14" s="9" t="s">
        <v>567</v>
      </c>
    </row>
    <row r="15" customFormat="false" ht="30" hidden="false" customHeight="true" outlineLevel="0" collapsed="false">
      <c r="A15" s="22" t="s">
        <v>568</v>
      </c>
      <c r="B15" s="101" t="n">
        <f aca="false">'CAC &amp; LTV'!$G$7</f>
        <v>3.978</v>
      </c>
      <c r="C15" s="9" t="s">
        <v>569</v>
      </c>
    </row>
    <row r="16" customFormat="false" ht="30" hidden="false" customHeight="true" outlineLevel="0" collapsed="false">
      <c r="A16" s="22" t="s">
        <v>570</v>
      </c>
      <c r="B16" s="102" t="n">
        <f aca="false">'CAC &amp; LTV'!$H$7</f>
        <v>4.18971007206301</v>
      </c>
      <c r="C16" s="9" t="s">
        <v>571</v>
      </c>
    </row>
    <row r="17" customFormat="false" ht="30" hidden="false" customHeight="true" outlineLevel="0" collapsed="false">
      <c r="A17" s="22" t="s">
        <v>572</v>
      </c>
      <c r="B17" s="36" t="s">
        <v>573</v>
      </c>
      <c r="C17" s="9" t="s">
        <v>574</v>
      </c>
    </row>
    <row r="18" customFormat="false" ht="30" hidden="false" customHeight="true" outlineLevel="0" collapsed="false">
      <c r="A18" s="22" t="s">
        <v>575</v>
      </c>
      <c r="B18" s="36" t="s">
        <v>576</v>
      </c>
      <c r="C18" s="9" t="s">
        <v>577</v>
      </c>
    </row>
    <row r="21" customFormat="false" ht="43.5" hidden="false" customHeight="true" outlineLevel="0" collapsed="false">
      <c r="A21" s="103" t="s">
        <v>578</v>
      </c>
      <c r="B21" s="103"/>
      <c r="C21" s="103"/>
    </row>
  </sheetData>
  <mergeCells count="1">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6" min="5" style="0" width="14"/>
  </cols>
  <sheetData>
    <row r="1" customFormat="false" ht="18.55" hidden="false" customHeight="false" outlineLevel="0" collapsed="false">
      <c r="A1" s="1" t="s">
        <v>579</v>
      </c>
    </row>
    <row r="2" customFormat="false" ht="15" hidden="false" customHeight="false" outlineLevel="0" collapsed="false">
      <c r="A2" s="2" t="s">
        <v>580</v>
      </c>
    </row>
    <row r="4" customFormat="false" ht="15" hidden="false" customHeight="false" outlineLevel="0" collapsed="false">
      <c r="A4" s="56" t="s">
        <v>581</v>
      </c>
    </row>
    <row r="5" customFormat="false" ht="15" hidden="false" customHeight="false" outlineLevel="0" collapsed="false">
      <c r="A5" s="6" t="s">
        <v>582</v>
      </c>
      <c r="B5" s="6" t="s">
        <v>583</v>
      </c>
      <c r="C5" s="6" t="s">
        <v>584</v>
      </c>
      <c r="D5" s="6" t="s">
        <v>585</v>
      </c>
      <c r="E5" s="6" t="s">
        <v>586</v>
      </c>
      <c r="F5" s="6"/>
    </row>
    <row r="6" customFormat="false" ht="15" hidden="false" customHeight="false" outlineLevel="0" collapsed="false">
      <c r="A6" s="14" t="s">
        <v>587</v>
      </c>
      <c r="B6" s="27" t="n">
        <v>0</v>
      </c>
      <c r="C6" s="27" t="n">
        <v>170</v>
      </c>
      <c r="D6" s="82" t="n">
        <f aca="false">B6+C6</f>
        <v>170</v>
      </c>
      <c r="E6" s="95" t="n">
        <f aca="false">D6*Assumptions!$B$69</f>
        <v>14620</v>
      </c>
    </row>
    <row r="7" customFormat="false" ht="15" hidden="false" customHeight="false" outlineLevel="0" collapsed="false">
      <c r="A7" s="14" t="s">
        <v>588</v>
      </c>
      <c r="B7" s="27" t="n">
        <v>6000</v>
      </c>
      <c r="C7" s="27" t="n">
        <v>500</v>
      </c>
      <c r="D7" s="82" t="n">
        <f aca="false">B7+C7</f>
        <v>6500</v>
      </c>
      <c r="E7" s="95" t="n">
        <f aca="false">D7*Assumptions!$B$69</f>
        <v>559000</v>
      </c>
    </row>
    <row r="8" customFormat="false" ht="15" hidden="false" customHeight="false" outlineLevel="0" collapsed="false">
      <c r="A8" s="14" t="s">
        <v>589</v>
      </c>
      <c r="B8" s="27" t="n">
        <v>22000</v>
      </c>
      <c r="C8" s="27" t="n">
        <v>1200</v>
      </c>
      <c r="D8" s="82" t="n">
        <f aca="false">B8+C8</f>
        <v>23200</v>
      </c>
      <c r="E8" s="95" t="n">
        <f aca="false">D8*Assumptions!$B$69</f>
        <v>1995200</v>
      </c>
    </row>
    <row r="10" customFormat="false" ht="15" hidden="false" customHeight="false" outlineLevel="0" collapsed="false">
      <c r="A10" s="56" t="s">
        <v>590</v>
      </c>
    </row>
    <row r="11" customFormat="false" ht="15" hidden="false" customHeight="false" outlineLevel="0" collapsed="false">
      <c r="A11" s="14" t="s">
        <v>591</v>
      </c>
      <c r="B11" s="19" t="n">
        <v>0.25</v>
      </c>
      <c r="C11" s="17" t="s">
        <v>592</v>
      </c>
    </row>
    <row r="12" customFormat="false" ht="15" hidden="false" customHeight="false" outlineLevel="0" collapsed="false">
      <c r="A12" s="6" t="s">
        <v>478</v>
      </c>
      <c r="B12" s="6" t="s">
        <v>593</v>
      </c>
      <c r="C12" s="6" t="s">
        <v>594</v>
      </c>
      <c r="D12" s="6" t="s">
        <v>595</v>
      </c>
      <c r="E12" s="6"/>
      <c r="F12" s="6"/>
    </row>
    <row r="13" customFormat="false" ht="15" hidden="false" customHeight="false" outlineLevel="0" collapsed="false">
      <c r="A13" s="14" t="s">
        <v>596</v>
      </c>
      <c r="B13" s="40" t="n">
        <f aca="false">'P&amp;L Scenarios'!$D$13</f>
        <v>15750</v>
      </c>
      <c r="C13" s="40" t="n">
        <f aca="false">'P&amp;L Scenarios'!$D$13</f>
        <v>15750</v>
      </c>
      <c r="D13" s="40" t="n">
        <f aca="false">'P&amp;L Scenarios'!$D$13</f>
        <v>15750</v>
      </c>
    </row>
    <row r="14" customFormat="false" ht="15" hidden="false" customHeight="false" outlineLevel="0" collapsed="false">
      <c r="A14" s="14" t="s">
        <v>597</v>
      </c>
      <c r="B14" s="40" t="n">
        <f aca="false">'P&amp;L Scenarios'!$D$18</f>
        <v>12013.1</v>
      </c>
      <c r="C14" s="40" t="n">
        <f aca="false">'P&amp;L Scenarios'!$D$18</f>
        <v>12013.1</v>
      </c>
      <c r="D14" s="40" t="n">
        <f aca="false">'P&amp;L Scenarios'!$D$18</f>
        <v>12013.1</v>
      </c>
    </row>
    <row r="15" customFormat="false" ht="15" hidden="false" customHeight="false" outlineLevel="0" collapsed="false">
      <c r="A15" s="14" t="s">
        <v>598</v>
      </c>
      <c r="B15" s="40" t="n">
        <f aca="false">D6</f>
        <v>170</v>
      </c>
      <c r="C15" s="40" t="n">
        <f aca="false">D7</f>
        <v>6500</v>
      </c>
      <c r="D15" s="40" t="n">
        <f aca="false">D8</f>
        <v>23200</v>
      </c>
    </row>
    <row r="16" customFormat="false" ht="15" hidden="false" customHeight="false" outlineLevel="0" collapsed="false">
      <c r="A16" s="22" t="s">
        <v>599</v>
      </c>
      <c r="B16" s="82" t="n">
        <f aca="false">B14-B15</f>
        <v>11843.1</v>
      </c>
      <c r="C16" s="82" t="n">
        <f aca="false">C14-C15</f>
        <v>5513.1</v>
      </c>
      <c r="D16" s="82" t="n">
        <f aca="false">D14-D15</f>
        <v>-11186.9</v>
      </c>
    </row>
    <row r="17" customFormat="false" ht="15" hidden="false" customHeight="false" outlineLevel="0" collapsed="false">
      <c r="A17" s="14" t="s">
        <v>600</v>
      </c>
      <c r="B17" s="80" t="n">
        <f aca="false">IF(B16&gt;0,B16*$B$11,0)</f>
        <v>2960.775</v>
      </c>
      <c r="C17" s="80" t="n">
        <f aca="false">IF(C16&gt;0,C16*$B$11,0)</f>
        <v>1378.275</v>
      </c>
      <c r="D17" s="80" t="n">
        <f aca="false">IF(D16&gt;0,D16*$B$11,0)</f>
        <v>0</v>
      </c>
    </row>
    <row r="18" customFormat="false" ht="15" hidden="false" customHeight="false" outlineLevel="0" collapsed="false">
      <c r="A18" s="22" t="s">
        <v>601</v>
      </c>
      <c r="B18" s="104" t="n">
        <f aca="false">B16-B17</f>
        <v>8882.325</v>
      </c>
      <c r="C18" s="104" t="n">
        <f aca="false">C16-C17</f>
        <v>4134.825</v>
      </c>
      <c r="D18" s="104" t="n">
        <f aca="false">D16-D17</f>
        <v>-11186.9</v>
      </c>
    </row>
    <row r="19" customFormat="false" ht="15" hidden="false" customHeight="false" outlineLevel="0" collapsed="false">
      <c r="A19" s="22" t="s">
        <v>602</v>
      </c>
      <c r="B19" s="105" t="n">
        <f aca="false">B18*Assumptions!$B$69</f>
        <v>763879.95</v>
      </c>
      <c r="C19" s="105" t="n">
        <f aca="false">C18*Assumptions!$B$69</f>
        <v>355594.95</v>
      </c>
      <c r="D19" s="105" t="n">
        <f aca="false">D18*Assumptions!$B$69</f>
        <v>-962073.4</v>
      </c>
    </row>
    <row r="21" customFormat="false" ht="43.5" hidden="false" customHeight="true" outlineLevel="0" collapsed="false">
      <c r="A21" s="103" t="s">
        <v>603</v>
      </c>
      <c r="B21" s="103"/>
      <c r="C21" s="103"/>
      <c r="D21" s="103"/>
      <c r="E21" s="103"/>
      <c r="F21" s="103"/>
    </row>
  </sheetData>
  <mergeCells count="1">
    <mergeCell ref="A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5"/>
    <col collapsed="false" customWidth="true" hidden="false" outlineLevel="0" max="5" min="3" style="0" width="12"/>
  </cols>
  <sheetData>
    <row r="1" customFormat="false" ht="18.55" hidden="false" customHeight="false" outlineLevel="0" collapsed="false">
      <c r="A1" s="1" t="s">
        <v>604</v>
      </c>
    </row>
    <row r="2" customFormat="false" ht="15" hidden="false" customHeight="false" outlineLevel="0" collapsed="false">
      <c r="A2" s="2" t="s">
        <v>605</v>
      </c>
    </row>
    <row r="4" customFormat="false" ht="15" hidden="false" customHeight="false" outlineLevel="0" collapsed="false">
      <c r="A4" s="56" t="s">
        <v>606</v>
      </c>
    </row>
    <row r="5" customFormat="false" ht="15" hidden="false" customHeight="false" outlineLevel="0" collapsed="false">
      <c r="A5" s="6" t="s">
        <v>607</v>
      </c>
      <c r="B5" s="6" t="s">
        <v>270</v>
      </c>
      <c r="C5" s="6"/>
      <c r="D5" s="6"/>
      <c r="E5" s="6"/>
    </row>
    <row r="6" customFormat="false" ht="15" hidden="false" customHeight="false" outlineLevel="0" collapsed="false">
      <c r="A6" s="14" t="s">
        <v>608</v>
      </c>
      <c r="B6" s="40" t="n">
        <f aca="false">Assumptions!$B$87+Assumptions!$B$88+Assumptions!$B$89</f>
        <v>50</v>
      </c>
    </row>
    <row r="7" customFormat="false" ht="15" hidden="false" customHeight="false" outlineLevel="0" collapsed="false">
      <c r="A7" s="14" t="s">
        <v>609</v>
      </c>
      <c r="B7" s="40" t="n">
        <f aca="false">Assumptions!$B$90</f>
        <v>120</v>
      </c>
    </row>
    <row r="8" customFormat="false" ht="15" hidden="false" customHeight="false" outlineLevel="0" collapsed="false">
      <c r="A8" s="14" t="s">
        <v>276</v>
      </c>
      <c r="B8" s="40" t="n">
        <f aca="false">Assumptions!$B$91</f>
        <v>0</v>
      </c>
    </row>
    <row r="9" customFormat="false" ht="15" hidden="false" customHeight="false" outlineLevel="0" collapsed="false">
      <c r="A9" s="29" t="s">
        <v>610</v>
      </c>
      <c r="B9" s="79" t="n">
        <f aca="false">SUM(B6:B8)</f>
        <v>170</v>
      </c>
    </row>
    <row r="10" customFormat="false" ht="15" hidden="false" customHeight="false" outlineLevel="0" collapsed="false">
      <c r="A10" s="14" t="s">
        <v>611</v>
      </c>
      <c r="B10" s="27" t="n">
        <v>0</v>
      </c>
    </row>
    <row r="12" customFormat="false" ht="15" hidden="false" customHeight="false" outlineLevel="0" collapsed="false">
      <c r="A12" s="56" t="s">
        <v>612</v>
      </c>
    </row>
    <row r="13" customFormat="false" ht="15" hidden="false" customHeight="false" outlineLevel="0" collapsed="false">
      <c r="A13" s="6" t="s">
        <v>276</v>
      </c>
      <c r="B13" s="6" t="s">
        <v>613</v>
      </c>
      <c r="C13" s="6" t="s">
        <v>614</v>
      </c>
      <c r="D13" s="6" t="s">
        <v>615</v>
      </c>
      <c r="E13" s="6" t="s">
        <v>616</v>
      </c>
    </row>
    <row r="14" customFormat="false" ht="15" hidden="false" customHeight="false" outlineLevel="0" collapsed="false">
      <c r="A14" s="27" t="n">
        <v>0</v>
      </c>
      <c r="B14" s="40" t="n">
        <f aca="false">Assumptions!$B$87+Assumptions!$B$88+Assumptions!$B$89+Assumptions!$B$90+A14</f>
        <v>170</v>
      </c>
      <c r="C14" s="57" t="n">
        <f aca="false">IF((B14-$B$10)&lt;=0,"∞",10000/(B14-$B$10))</f>
        <v>58.8235294117647</v>
      </c>
      <c r="D14" s="57" t="n">
        <f aca="false">IF((B14-$B$10)&lt;=0,"∞",25000/(B14-$B$10))</f>
        <v>147.058823529412</v>
      </c>
      <c r="E14" s="57" t="n">
        <f aca="false">IF((B14-$B$10)&lt;=0,"∞",50000/(B14-$B$10))</f>
        <v>294.117647058824</v>
      </c>
    </row>
    <row r="15" customFormat="false" ht="15" hidden="false" customHeight="false" outlineLevel="0" collapsed="false">
      <c r="A15" s="27" t="n">
        <v>2000</v>
      </c>
      <c r="B15" s="40" t="n">
        <f aca="false">Assumptions!$B$87+Assumptions!$B$88+Assumptions!$B$89+Assumptions!$B$90+A15</f>
        <v>2170</v>
      </c>
      <c r="C15" s="57" t="n">
        <f aca="false">IF((B15-$B$10)&lt;=0,"∞",10000/(B15-$B$10))</f>
        <v>4.60829493087558</v>
      </c>
      <c r="D15" s="57" t="n">
        <f aca="false">IF((B15-$B$10)&lt;=0,"∞",25000/(B15-$B$10))</f>
        <v>11.5207373271889</v>
      </c>
      <c r="E15" s="57" t="n">
        <f aca="false">IF((B15-$B$10)&lt;=0,"∞",50000/(B15-$B$10))</f>
        <v>23.0414746543779</v>
      </c>
    </row>
    <row r="16" customFormat="false" ht="15" hidden="false" customHeight="false" outlineLevel="0" collapsed="false">
      <c r="A16" s="27" t="n">
        <v>3000</v>
      </c>
      <c r="B16" s="40" t="n">
        <f aca="false">Assumptions!$B$87+Assumptions!$B$88+Assumptions!$B$89+Assumptions!$B$90+A16</f>
        <v>3170</v>
      </c>
      <c r="C16" s="57" t="n">
        <f aca="false">IF((B16-$B$10)&lt;=0,"∞",10000/(B16-$B$10))</f>
        <v>3.15457413249211</v>
      </c>
      <c r="D16" s="57" t="n">
        <f aca="false">IF((B16-$B$10)&lt;=0,"∞",25000/(B16-$B$10))</f>
        <v>7.88643533123028</v>
      </c>
      <c r="E16" s="57" t="n">
        <f aca="false">IF((B16-$B$10)&lt;=0,"∞",50000/(B16-$B$10))</f>
        <v>15.7728706624606</v>
      </c>
    </row>
    <row r="17" customFormat="false" ht="15" hidden="false" customHeight="false" outlineLevel="0" collapsed="false">
      <c r="A17" s="27" t="n">
        <v>5000</v>
      </c>
      <c r="B17" s="40" t="n">
        <f aca="false">Assumptions!$B$87+Assumptions!$B$88+Assumptions!$B$89+Assumptions!$B$90+A17</f>
        <v>5170</v>
      </c>
      <c r="C17" s="57" t="n">
        <f aca="false">IF((B17-$B$10)&lt;=0,"∞",10000/(B17-$B$10))</f>
        <v>1.93423597678917</v>
      </c>
      <c r="D17" s="57" t="n">
        <f aca="false">IF((B17-$B$10)&lt;=0,"∞",25000/(B17-$B$10))</f>
        <v>4.83558994197292</v>
      </c>
      <c r="E17" s="57" t="n">
        <f aca="false">IF((B17-$B$10)&lt;=0,"∞",50000/(B17-$B$10))</f>
        <v>9.67117988394584</v>
      </c>
    </row>
    <row r="20" customFormat="false" ht="15" hidden="false" customHeight="false" outlineLevel="0" collapsed="false">
      <c r="A20" s="56" t="s">
        <v>617</v>
      </c>
    </row>
    <row r="21" customFormat="false" ht="22.35" hidden="false" customHeight="false" outlineLevel="0" collapsed="false">
      <c r="A21" s="6" t="s">
        <v>276</v>
      </c>
      <c r="B21" s="6" t="s">
        <v>618</v>
      </c>
      <c r="C21" s="6" t="s">
        <v>619</v>
      </c>
      <c r="D21" s="6" t="s">
        <v>620</v>
      </c>
      <c r="E21" s="6"/>
    </row>
    <row r="22" customFormat="false" ht="15" hidden="false" customHeight="false" outlineLevel="0" collapsed="false">
      <c r="A22" s="27" t="n">
        <v>0</v>
      </c>
      <c r="B22" s="40" t="n">
        <f aca="false">(Assumptions!$B$87+Assumptions!$B$88+Assumptions!$B$89+Assumptions!$B$90+A22)/0.75</f>
        <v>226.666666666667</v>
      </c>
      <c r="C22" s="106" t="n">
        <f aca="false">B22/'B2C Pricing'!$B$10</f>
        <v>11.9298245614035</v>
      </c>
      <c r="D22" s="106" t="n">
        <f aca="false">B22/'B2B Model'!$B$8</f>
        <v>0.781609195402299</v>
      </c>
    </row>
    <row r="23" customFormat="false" ht="15" hidden="false" customHeight="false" outlineLevel="0" collapsed="false">
      <c r="A23" s="27" t="n">
        <v>2000</v>
      </c>
      <c r="B23" s="40" t="n">
        <f aca="false">(Assumptions!$B$87+Assumptions!$B$88+Assumptions!$B$89+Assumptions!$B$90+A23)/0.75</f>
        <v>2893.33333333333</v>
      </c>
      <c r="C23" s="106" t="n">
        <f aca="false">B23/'B2C Pricing'!$B$10</f>
        <v>152.280701754386</v>
      </c>
      <c r="D23" s="106" t="n">
        <f aca="false">B23/'B2B Model'!$B$8</f>
        <v>9.97701149425287</v>
      </c>
    </row>
    <row r="24" customFormat="false" ht="15" hidden="false" customHeight="false" outlineLevel="0" collapsed="false">
      <c r="A24" s="27" t="n">
        <v>3000</v>
      </c>
      <c r="B24" s="40" t="n">
        <f aca="false">(Assumptions!$B$87+Assumptions!$B$88+Assumptions!$B$89+Assumptions!$B$90+A24)/0.75</f>
        <v>4226.66666666667</v>
      </c>
      <c r="C24" s="106" t="n">
        <f aca="false">B24/'B2C Pricing'!$B$10</f>
        <v>222.456140350877</v>
      </c>
      <c r="D24" s="106" t="n">
        <f aca="false">B24/'B2B Model'!$B$8</f>
        <v>14.5747126436782</v>
      </c>
    </row>
    <row r="25" customFormat="false" ht="15" hidden="false" customHeight="false" outlineLevel="0" collapsed="false">
      <c r="A25" s="27" t="n">
        <v>5000</v>
      </c>
      <c r="B25" s="40" t="n">
        <f aca="false">(Assumptions!$B$87+Assumptions!$B$88+Assumptions!$B$89+Assumptions!$B$90+A25)/0.75</f>
        <v>6893.33333333333</v>
      </c>
      <c r="C25" s="106" t="n">
        <f aca="false">B25/'B2C Pricing'!$B$10</f>
        <v>362.80701754386</v>
      </c>
      <c r="D25" s="106" t="n">
        <f aca="false">B25/'B2B Model'!$B$8</f>
        <v>23.7701149425287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4" min="3" style="0" width="10"/>
    <col collapsed="false" customWidth="true" hidden="false" outlineLevel="0" max="6" min="5" style="0" width="12"/>
    <col collapsed="false" customWidth="true" hidden="false" outlineLevel="0" max="8" min="7" style="0" width="11"/>
  </cols>
  <sheetData>
    <row r="1" customFormat="false" ht="18.55" hidden="false" customHeight="false" outlineLevel="0" collapsed="false">
      <c r="A1" s="1" t="s">
        <v>621</v>
      </c>
    </row>
    <row r="2" customFormat="false" ht="15" hidden="false" customHeight="false" outlineLevel="0" collapsed="false">
      <c r="A2" s="2" t="s">
        <v>622</v>
      </c>
    </row>
    <row r="4" customFormat="false" ht="22.35" hidden="false" customHeight="false" outlineLevel="0" collapsed="false">
      <c r="A4" s="6" t="s">
        <v>623</v>
      </c>
      <c r="B4" s="6" t="s">
        <v>624</v>
      </c>
      <c r="C4" s="6" t="s">
        <v>625</v>
      </c>
      <c r="D4" s="6" t="s">
        <v>626</v>
      </c>
      <c r="E4" s="6" t="s">
        <v>627</v>
      </c>
      <c r="F4" s="6" t="s">
        <v>628</v>
      </c>
      <c r="G4" s="6" t="s">
        <v>629</v>
      </c>
      <c r="H4" s="6" t="s">
        <v>630</v>
      </c>
    </row>
    <row r="5" customFormat="false" ht="15" hidden="false" customHeight="false" outlineLevel="0" collapsed="false">
      <c r="A5" s="107" t="s">
        <v>631</v>
      </c>
      <c r="B5" s="108" t="n">
        <v>15.5</v>
      </c>
      <c r="C5" s="109" t="n">
        <v>0.81</v>
      </c>
      <c r="D5" s="109" t="n">
        <v>0.06</v>
      </c>
      <c r="E5" s="92" t="n">
        <f aca="false">B5*C5/D5</f>
        <v>209.25</v>
      </c>
      <c r="F5" s="110" t="n">
        <v>50</v>
      </c>
      <c r="G5" s="111" t="n">
        <f aca="false">E5/F5</f>
        <v>4.185</v>
      </c>
      <c r="H5" s="112" t="n">
        <f aca="false">F5/(B5*C5)</f>
        <v>3.98247710075667</v>
      </c>
    </row>
    <row r="6" customFormat="false" ht="15" hidden="false" customHeight="false" outlineLevel="0" collapsed="false">
      <c r="A6" s="113" t="s">
        <v>632</v>
      </c>
      <c r="B6" s="114" t="n">
        <v>15.5</v>
      </c>
      <c r="C6" s="115" t="n">
        <v>0.81</v>
      </c>
      <c r="D6" s="115" t="n">
        <v>0.06</v>
      </c>
      <c r="E6" s="116" t="n">
        <f aca="false">B6*C6/D6</f>
        <v>209.25</v>
      </c>
      <c r="F6" s="117" t="n">
        <v>200</v>
      </c>
      <c r="G6" s="118" t="n">
        <f aca="false">E6/F6</f>
        <v>1.04625</v>
      </c>
      <c r="H6" s="119" t="n">
        <f aca="false">F6/(B6*C6)</f>
        <v>15.9299084030267</v>
      </c>
    </row>
    <row r="7" customFormat="false" ht="15" hidden="false" customHeight="false" outlineLevel="0" collapsed="false">
      <c r="A7" s="107" t="s">
        <v>633</v>
      </c>
      <c r="B7" s="108" t="n">
        <v>15.3</v>
      </c>
      <c r="C7" s="109" t="n">
        <v>0.78</v>
      </c>
      <c r="D7" s="109" t="n">
        <v>0.06</v>
      </c>
      <c r="E7" s="92" t="n">
        <f aca="false">B7*C7/D7</f>
        <v>198.9</v>
      </c>
      <c r="F7" s="110" t="n">
        <v>50</v>
      </c>
      <c r="G7" s="111" t="n">
        <f aca="false">E7/F7</f>
        <v>3.978</v>
      </c>
      <c r="H7" s="112" t="n">
        <f aca="false">F7/(B7*C7)</f>
        <v>4.18971007206301</v>
      </c>
    </row>
    <row r="8" customFormat="false" ht="15" hidden="false" customHeight="false" outlineLevel="0" collapsed="false">
      <c r="A8" s="120" t="s">
        <v>634</v>
      </c>
      <c r="B8" s="121" t="n">
        <v>6.7</v>
      </c>
      <c r="C8" s="122" t="n">
        <v>0.49</v>
      </c>
      <c r="D8" s="122" t="n">
        <v>0.08</v>
      </c>
      <c r="E8" s="123" t="n">
        <f aca="false">B8*C8/D8</f>
        <v>41.0375</v>
      </c>
      <c r="F8" s="124" t="n">
        <v>25</v>
      </c>
      <c r="G8" s="125" t="n">
        <f aca="false">E8/F8</f>
        <v>1.6415</v>
      </c>
      <c r="H8" s="126" t="n">
        <f aca="false">F8/(B8*C8)</f>
        <v>7.61498629302467</v>
      </c>
    </row>
    <row r="9" customFormat="false" ht="15" hidden="false" customHeight="false" outlineLevel="0" collapsed="false">
      <c r="A9" s="113" t="s">
        <v>635</v>
      </c>
      <c r="B9" s="114" t="n">
        <v>6.7</v>
      </c>
      <c r="C9" s="115" t="n">
        <v>0.49</v>
      </c>
      <c r="D9" s="115" t="n">
        <v>0.08</v>
      </c>
      <c r="E9" s="116" t="n">
        <f aca="false">B9*C9/D9</f>
        <v>41.0375</v>
      </c>
      <c r="F9" s="117" t="n">
        <v>150</v>
      </c>
      <c r="G9" s="118" t="n">
        <f aca="false">E9/F9</f>
        <v>0.273583333333333</v>
      </c>
      <c r="H9" s="119" t="n">
        <f aca="false">F9/(B9*C9)</f>
        <v>45.689917758148</v>
      </c>
    </row>
    <row r="10" customFormat="false" ht="15" hidden="false" customHeight="false" outlineLevel="0" collapsed="false">
      <c r="A10" s="107" t="s">
        <v>636</v>
      </c>
      <c r="B10" s="108" t="n">
        <v>290</v>
      </c>
      <c r="C10" s="109" t="n">
        <v>0.83</v>
      </c>
      <c r="D10" s="109" t="n">
        <v>0.025</v>
      </c>
      <c r="E10" s="92" t="n">
        <f aca="false">B10*C10/D10</f>
        <v>9628</v>
      </c>
      <c r="F10" s="110" t="n">
        <v>600</v>
      </c>
      <c r="G10" s="111" t="n">
        <f aca="false">E10/F10</f>
        <v>16.0466666666667</v>
      </c>
      <c r="H10" s="112" t="n">
        <f aca="false">F10/(B10*C10)</f>
        <v>2.49272953884504</v>
      </c>
    </row>
    <row r="11" customFormat="false" ht="15" hidden="false" customHeight="false" outlineLevel="0" collapsed="false">
      <c r="A11" s="107" t="s">
        <v>637</v>
      </c>
      <c r="B11" s="108" t="n">
        <v>405</v>
      </c>
      <c r="C11" s="109" t="n">
        <v>0.83</v>
      </c>
      <c r="D11" s="109" t="n">
        <v>0.025</v>
      </c>
      <c r="E11" s="92" t="n">
        <f aca="false">B11*C11/D11</f>
        <v>13446</v>
      </c>
      <c r="F11" s="110" t="n">
        <v>1200</v>
      </c>
      <c r="G11" s="111" t="n">
        <f aca="false">E11/F11</f>
        <v>11.205</v>
      </c>
      <c r="H11" s="112" t="n">
        <f aca="false">F11/(B11*C11)</f>
        <v>3.5698348951361</v>
      </c>
    </row>
    <row r="13" customFormat="false" ht="15" hidden="false" customHeight="false" outlineLevel="0" collapsed="false">
      <c r="A13" s="36" t="s">
        <v>638</v>
      </c>
    </row>
    <row r="14" customFormat="false" ht="15" hidden="false" customHeight="false" outlineLevel="0" collapsed="false">
      <c r="A14" s="14" t="s">
        <v>639</v>
      </c>
      <c r="B14" s="127" t="s">
        <v>640</v>
      </c>
    </row>
    <row r="15" customFormat="false" ht="15" hidden="false" customHeight="false" outlineLevel="0" collapsed="false">
      <c r="A15" s="14" t="s">
        <v>641</v>
      </c>
      <c r="B15" s="127" t="s">
        <v>642</v>
      </c>
    </row>
    <row r="16" customFormat="false" ht="15" hidden="false" customHeight="false" outlineLevel="0" collapsed="false">
      <c r="A16" s="14" t="s">
        <v>643</v>
      </c>
      <c r="B16" s="128" t="s">
        <v>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22"/>
  </cols>
  <sheetData>
    <row r="1" customFormat="false" ht="18.55" hidden="false" customHeight="false" outlineLevel="0" collapsed="false">
      <c r="A1" s="1" t="s">
        <v>645</v>
      </c>
    </row>
    <row r="2" customFormat="false" ht="15" hidden="false" customHeight="false" outlineLevel="0" collapsed="false">
      <c r="A2" s="2" t="s">
        <v>646</v>
      </c>
    </row>
    <row r="4" customFormat="false" ht="15" hidden="false" customHeight="false" outlineLevel="0" collapsed="false">
      <c r="A4" s="6" t="s">
        <v>647</v>
      </c>
      <c r="B4" s="6" t="s">
        <v>648</v>
      </c>
      <c r="C4" s="6" t="s">
        <v>649</v>
      </c>
    </row>
    <row r="5" customFormat="false" ht="15" hidden="false" customHeight="false" outlineLevel="0" collapsed="false">
      <c r="A5" s="14" t="s">
        <v>650</v>
      </c>
      <c r="B5" s="106" t="n">
        <f aca="false">(Assumptions!$B$87+Assumptions!$B$88+Assumptions!$B$89+Assumptions!$B$90)/'B2C Pricing'!$B$12</f>
        <v>10.7738132961531</v>
      </c>
      <c r="C5" s="106" t="n">
        <f aca="false">(Assumptions!$B$87+Assumptions!$B$88+Assumptions!$B$89+Assumptions!$B$90)/'B2B Model'!$B$15</f>
        <v>0.700337810002472</v>
      </c>
    </row>
    <row r="6" customFormat="false" ht="15" hidden="false" customHeight="false" outlineLevel="0" collapsed="false">
      <c r="A6" s="14" t="s">
        <v>651</v>
      </c>
      <c r="B6" s="106" t="n">
        <f aca="false">(Assumptions!$B$87+Assumptions!$B$88+Assumptions!$B$89+Assumptions!$B$90+3000)/'B2C Pricing'!$B$12</f>
        <v>200.89993028709</v>
      </c>
      <c r="C6" s="106" t="n">
        <f aca="false">(Assumptions!$B$87+Assumptions!$B$88+Assumptions!$B$89+Assumptions!$B$90+3000)/'B2B Model'!$B$15</f>
        <v>13.0592403394579</v>
      </c>
    </row>
    <row r="7" customFormat="false" ht="15" hidden="false" customHeight="false" outlineLevel="0" collapsed="false">
      <c r="A7" s="14" t="s">
        <v>652</v>
      </c>
      <c r="B7" s="106" t="n">
        <f aca="false">(Assumptions!$B$87+Assumptions!$B$88+Assumptions!$B$89+Assumptions!$B$90+5000)/'B2C Pricing'!$B$12</f>
        <v>327.650674947715</v>
      </c>
      <c r="C7" s="106" t="n">
        <f aca="false">(Assumptions!$B$87+Assumptions!$B$88+Assumptions!$B$89+Assumptions!$B$90+5000)/'B2B Model'!$B$15</f>
        <v>21.2985086924281</v>
      </c>
    </row>
    <row r="9" customFormat="false" ht="15" hidden="false" customHeight="false" outlineLevel="0" collapsed="false">
      <c r="A9" s="35" t="s">
        <v>653</v>
      </c>
    </row>
    <row r="10" customFormat="false" ht="15" hidden="false" customHeight="false" outlineLevel="0" collapsed="false">
      <c r="A10" s="35" t="s">
        <v>654</v>
      </c>
      <c r="B10" s="28" t="n">
        <f aca="false">'B2C Pricing'!$B$12</f>
        <v>15.779</v>
      </c>
    </row>
    <row r="11" customFormat="false" ht="15" hidden="false" customHeight="false" outlineLevel="0" collapsed="false">
      <c r="A11" s="35" t="s">
        <v>655</v>
      </c>
      <c r="B11" s="40" t="n">
        <f aca="false">'B2B Model'!$B$15</f>
        <v>242.74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18"/>
  </cols>
  <sheetData>
    <row r="1" customFormat="false" ht="18.55" hidden="false" customHeight="false" outlineLevel="0" collapsed="false">
      <c r="A1" s="1" t="s">
        <v>656</v>
      </c>
    </row>
    <row r="2" customFormat="false" ht="15" hidden="false" customHeight="false" outlineLevel="0" collapsed="false">
      <c r="A2" s="2" t="s">
        <v>657</v>
      </c>
    </row>
    <row r="4" customFormat="false" ht="15" hidden="false" customHeight="false" outlineLevel="0" collapsed="false">
      <c r="A4" s="6" t="s">
        <v>393</v>
      </c>
      <c r="B4" s="6" t="s">
        <v>399</v>
      </c>
      <c r="C4" s="6" t="s">
        <v>658</v>
      </c>
    </row>
    <row r="5" customFormat="false" ht="15" hidden="false" customHeight="false" outlineLevel="0" collapsed="false">
      <c r="A5" s="14" t="s">
        <v>659</v>
      </c>
      <c r="B5" s="28" t="n">
        <f aca="false">'Cost to Serve'!$C$13</f>
        <v>3.221</v>
      </c>
      <c r="C5" s="41" t="n">
        <f aca="false">B5*Assumptions!$B$69</f>
        <v>277.006</v>
      </c>
    </row>
    <row r="6" customFormat="false" ht="15" hidden="false" customHeight="false" outlineLevel="0" collapsed="false">
      <c r="A6" s="14" t="s">
        <v>660</v>
      </c>
      <c r="B6" s="28" t="n">
        <f aca="false">'Cost to Serve'!$C$7</f>
        <v>1.62</v>
      </c>
      <c r="C6" s="41" t="n">
        <f aca="false">B6*Assumptions!$B$69</f>
        <v>139.32</v>
      </c>
    </row>
    <row r="7" customFormat="false" ht="15" hidden="false" customHeight="false" outlineLevel="0" collapsed="false">
      <c r="A7" s="14" t="s">
        <v>661</v>
      </c>
      <c r="B7" s="28" t="n">
        <f aca="false">'B2C Pricing'!$B$10</f>
        <v>19</v>
      </c>
      <c r="C7" s="41" t="n">
        <f aca="false">B7*Assumptions!$B$69</f>
        <v>1634</v>
      </c>
    </row>
    <row r="8" customFormat="false" ht="15" hidden="false" customHeight="false" outlineLevel="0" collapsed="false">
      <c r="A8" s="14" t="s">
        <v>662</v>
      </c>
      <c r="B8" s="28" t="n">
        <f aca="false">'B2C Pricing'!$B$12</f>
        <v>15.779</v>
      </c>
      <c r="C8" s="41" t="n">
        <f aca="false">B8*Assumptions!$B$69</f>
        <v>1356.994</v>
      </c>
    </row>
    <row r="9" customFormat="false" ht="15" hidden="false" customHeight="false" outlineLevel="0" collapsed="false">
      <c r="A9" s="14" t="s">
        <v>663</v>
      </c>
      <c r="B9" s="28" t="n">
        <f aca="false">'B2C Pricing'!$C$10</f>
        <v>15.875</v>
      </c>
      <c r="C9" s="41" t="n">
        <f aca="false">B9*Assumptions!$B$69</f>
        <v>1365.25</v>
      </c>
    </row>
    <row r="10" customFormat="false" ht="15" hidden="false" customHeight="false" outlineLevel="0" collapsed="false">
      <c r="A10" s="14" t="s">
        <v>664</v>
      </c>
      <c r="B10" s="28" t="n">
        <f aca="false">'B2C Pricing'!$D$10</f>
        <v>6.8880567599527</v>
      </c>
      <c r="C10" s="41" t="n">
        <f aca="false">B10*Assumptions!$B$69</f>
        <v>592.372881355932</v>
      </c>
    </row>
    <row r="11" customFormat="false" ht="15" hidden="false" customHeight="false" outlineLevel="0" collapsed="false">
      <c r="A11" s="14" t="s">
        <v>665</v>
      </c>
      <c r="B11" s="28" t="n">
        <f aca="false">'B2C Pricing'!$D$12</f>
        <v>3.6670567599527</v>
      </c>
      <c r="C11" s="41" t="n">
        <f aca="false">B11*Assumptions!$B$69</f>
        <v>315.366881355932</v>
      </c>
    </row>
    <row r="12" customFormat="false" ht="15" hidden="false" customHeight="false" outlineLevel="0" collapsed="false">
      <c r="A12" s="14" t="s">
        <v>666</v>
      </c>
      <c r="B12" s="40" t="n">
        <f aca="false">'B2B Model'!$B$8</f>
        <v>290</v>
      </c>
      <c r="C12" s="41" t="n">
        <f aca="false">B12*Assumptions!$B$69</f>
        <v>24940</v>
      </c>
    </row>
    <row r="13" customFormat="false" ht="15" hidden="false" customHeight="false" outlineLevel="0" collapsed="false">
      <c r="A13" s="14" t="s">
        <v>667</v>
      </c>
      <c r="B13" s="40" t="n">
        <f aca="false">'B2B Model'!$B$18</f>
        <v>9709.6</v>
      </c>
      <c r="C13" s="41" t="n">
        <f aca="false">B13*Assumptions!$B$69</f>
        <v>835025.6</v>
      </c>
    </row>
    <row r="14" customFormat="false" ht="15" hidden="false" customHeight="false" outlineLevel="0" collapsed="false">
      <c r="A14" s="14" t="s">
        <v>668</v>
      </c>
      <c r="B14" s="40" t="n">
        <f aca="false">'B2B Model'!$C$18</f>
        <v>45812</v>
      </c>
      <c r="C14" s="41" t="n">
        <f aca="false">B14*Assumptions!$B$69</f>
        <v>3939832</v>
      </c>
    </row>
    <row r="15" customFormat="false" ht="15" hidden="false" customHeight="false" outlineLevel="0" collapsed="false">
      <c r="A15" s="14" t="s">
        <v>669</v>
      </c>
      <c r="B15" s="40" t="n">
        <f aca="false">'P&amp;L Scenarios'!$C$22</f>
        <v>823.31</v>
      </c>
      <c r="C15" s="41" t="n">
        <f aca="false">B15*Assumptions!$B$69</f>
        <v>70804.66</v>
      </c>
    </row>
    <row r="16" customFormat="false" ht="15" hidden="false" customHeight="false" outlineLevel="0" collapsed="false">
      <c r="A16" s="14" t="s">
        <v>670</v>
      </c>
      <c r="B16" s="40" t="n">
        <f aca="false">'P&amp;L Scenarios'!$D$14</f>
        <v>189000</v>
      </c>
      <c r="C16" s="41" t="n">
        <f aca="false">B16*Assumptions!$B$69</f>
        <v>16254000</v>
      </c>
    </row>
    <row r="17" customFormat="false" ht="15" hidden="false" customHeight="false" outlineLevel="0" collapsed="false">
      <c r="A17" s="14" t="s">
        <v>671</v>
      </c>
      <c r="B17" s="40" t="n">
        <f aca="false">'P&amp;L Scenarios'!$D$22</f>
        <v>9963.1</v>
      </c>
      <c r="C17" s="41" t="n">
        <f aca="false">B17*Assumptions!$B$69</f>
        <v>856826.6</v>
      </c>
    </row>
    <row r="18" customFormat="false" ht="15" hidden="false" customHeight="false" outlineLevel="0" collapsed="false">
      <c r="A18" s="14" t="s">
        <v>672</v>
      </c>
      <c r="B18" s="40" t="n">
        <f aca="false">Runway!$B$9</f>
        <v>170</v>
      </c>
      <c r="C18" s="41" t="n">
        <f aca="false">B18*Assumptions!$B$69</f>
        <v>14620</v>
      </c>
    </row>
    <row r="19" customFormat="false" ht="15" hidden="false" customHeight="false" outlineLevel="0" collapsed="false">
      <c r="A19" s="14" t="s">
        <v>673</v>
      </c>
      <c r="B19" s="40" t="n">
        <f aca="false">Runway!$B$22</f>
        <v>226.666666666667</v>
      </c>
      <c r="C19" s="41" t="n">
        <f aca="false">B19*Assumptions!$B$69</f>
        <v>19493.3333333333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2026-07-15T09:32:45Z</dcterms:created>
  <dc:creator>openpyxl</dc:creator>
  <dc:description/>
  <dc:language>en-IN</dc:language>
  <cp:lastModifiedBy/>
  <dcterms:modified xsi:type="dcterms:W3CDTF">2026-07-15T09:32:45Z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